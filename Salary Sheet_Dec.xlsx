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alary" sheetId="1" r:id="rId4"/>
    <sheet state="visible" name="Estimated Annual Salary" sheetId="2" r:id="rId5"/>
    <sheet state="visible" name="Sheet1" sheetId="3" r:id="rId6"/>
  </sheets>
  <definedNames/>
  <calcPr/>
  <extLst>
    <ext uri="GoogleSheetsCustomDataVersion1">
      <go:sheetsCustomData xmlns:go="http://customooxmlschemas.google.com/" r:id="rId7" roundtripDataSignature="AMtx7mixU/ez10c9cTrS7wIvAC7fsqAerg=="/>
    </ext>
  </extLst>
</workbook>
</file>

<file path=xl/sharedStrings.xml><?xml version="1.0" encoding="utf-8"?>
<sst xmlns="http://schemas.openxmlformats.org/spreadsheetml/2006/main" count="117" uniqueCount="87">
  <si>
    <t>Salary Detail</t>
  </si>
  <si>
    <t>CTC Detail</t>
  </si>
  <si>
    <t>Sr.No</t>
  </si>
  <si>
    <t>E Code</t>
  </si>
  <si>
    <t>Name</t>
  </si>
  <si>
    <t>Basic</t>
  </si>
  <si>
    <t>DA</t>
  </si>
  <si>
    <t>HRA</t>
  </si>
  <si>
    <t>Special All</t>
  </si>
  <si>
    <t>Tot Earn</t>
  </si>
  <si>
    <t>PF Emp</t>
  </si>
  <si>
    <t>ESI Emp</t>
  </si>
  <si>
    <t>Total Pay</t>
  </si>
  <si>
    <t>TDS Rate</t>
  </si>
  <si>
    <t>TDS</t>
  </si>
  <si>
    <t>Net Pay</t>
  </si>
  <si>
    <t>PF Co</t>
  </si>
  <si>
    <t>PF Exp</t>
  </si>
  <si>
    <t>ESI Co</t>
  </si>
  <si>
    <t>CTC</t>
  </si>
  <si>
    <t>D49404</t>
  </si>
  <si>
    <t>Argha Roy</t>
  </si>
  <si>
    <t>D49405</t>
  </si>
  <si>
    <t>Ashish Tiwari</t>
  </si>
  <si>
    <t>D49408</t>
  </si>
  <si>
    <t>Aslam Sabri</t>
  </si>
  <si>
    <t>D49409</t>
  </si>
  <si>
    <t>Avik Das</t>
  </si>
  <si>
    <t>D49410</t>
  </si>
  <si>
    <t>Avtar Singh</t>
  </si>
  <si>
    <t>D49411</t>
  </si>
  <si>
    <t>Brotin Ghosh</t>
  </si>
  <si>
    <t>D49415</t>
  </si>
  <si>
    <t>Devesh Yadav</t>
  </si>
  <si>
    <t>D49416</t>
  </si>
  <si>
    <t>Dinesh Kumar</t>
  </si>
  <si>
    <t>D49418</t>
  </si>
  <si>
    <t>Dushyant Yadav</t>
  </si>
  <si>
    <t>D49421</t>
  </si>
  <si>
    <t>Indrajit Das</t>
  </si>
  <si>
    <t>D49422</t>
  </si>
  <si>
    <t>Isteyaq</t>
  </si>
  <si>
    <t>D49424</t>
  </si>
  <si>
    <t>Jarman</t>
  </si>
  <si>
    <t>D49425</t>
  </si>
  <si>
    <t>Kamaljit Singh</t>
  </si>
  <si>
    <t>D49426</t>
  </si>
  <si>
    <t>Kartick Das</t>
  </si>
  <si>
    <t>D49428</t>
  </si>
  <si>
    <t>Laxmikant Pandey</t>
  </si>
  <si>
    <t>D49431</t>
  </si>
  <si>
    <t>Madhu Saha</t>
  </si>
  <si>
    <t>D49439</t>
  </si>
  <si>
    <t>Mashihul Khan Khan</t>
  </si>
  <si>
    <t>D49445</t>
  </si>
  <si>
    <t>Shailesh Vishwakarma</t>
  </si>
  <si>
    <t>D49446</t>
  </si>
  <si>
    <t>Mohd. Rizwan</t>
  </si>
  <si>
    <t>D49457</t>
  </si>
  <si>
    <t>Molay Debnath</t>
  </si>
  <si>
    <t>Income Tax Information</t>
  </si>
  <si>
    <t>Total Earn</t>
  </si>
  <si>
    <t>PAN Employee</t>
  </si>
  <si>
    <t>DOB</t>
  </si>
  <si>
    <t>Location</t>
  </si>
  <si>
    <t>PAN Landlord</t>
  </si>
  <si>
    <t>Income from Let out</t>
  </si>
  <si>
    <t>Municipal Tax paid</t>
  </si>
  <si>
    <t>Interest paid SO</t>
  </si>
  <si>
    <t>Interest paid Let Out</t>
  </si>
  <si>
    <t>Income From Other Sources</t>
  </si>
  <si>
    <t>Sec 80C/80CCC/80CCD</t>
  </si>
  <si>
    <t>Sec 80D</t>
  </si>
  <si>
    <t>Sec 80G</t>
  </si>
  <si>
    <t>Sec 80GG</t>
  </si>
  <si>
    <t>Sec 80TTA</t>
  </si>
  <si>
    <t xml:space="preserve">Other </t>
  </si>
  <si>
    <t>Actual Rent paid by employee</t>
  </si>
  <si>
    <t>A10001</t>
  </si>
  <si>
    <t>Sonia Jain</t>
  </si>
  <si>
    <t>AGOPR8914B</t>
  </si>
  <si>
    <t>METRO</t>
  </si>
  <si>
    <t>AGOPR8914C</t>
  </si>
  <si>
    <t>AWYPV0348C</t>
  </si>
  <si>
    <t>AGOPR8914D</t>
  </si>
  <si>
    <t>AWYPV0398C</t>
  </si>
  <si>
    <t>AGOPR8914E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</si>
</sst>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₹&quot;\ * #,##0_ ;_ &quot;₹&quot;\ * \-#,##0_ ;_ &quot;₹&quot;\ * &quot;-&quot;??_ ;_ @_ "/>
    <numFmt numFmtId="165" formatCode="dd/mm/yyyy"/>
  </numFmts>
  <fonts count="7">
    <font>
      <sz val="11.0"/>
      <color rgb="FF000000"/>
      <name val="Arial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000000"/>
      <name val="Trebuchet MS"/>
    </font>
    <font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left" shrinkToFit="1" vertical="center" wrapText="0"/>
    </xf>
    <xf borderId="5" fillId="3" fontId="4" numFmtId="0" xfId="0" applyAlignment="1" applyBorder="1" applyFont="1">
      <alignment horizontal="left" shrinkToFit="1" vertical="center" wrapText="0"/>
    </xf>
    <xf borderId="6" fillId="3" fontId="4" numFmtId="49" xfId="0" applyAlignment="1" applyBorder="1" applyFont="1" applyNumberFormat="1">
      <alignment horizontal="left" shrinkToFit="1" vertical="center" wrapText="0"/>
    </xf>
    <xf borderId="0" fillId="0" fontId="4" numFmtId="49" xfId="0" applyAlignment="1" applyFont="1" applyNumberFormat="1">
      <alignment horizontal="center" shrinkToFit="1" vertical="center" wrapText="0"/>
    </xf>
    <xf borderId="4" fillId="3" fontId="4" numFmtId="49" xfId="0" applyAlignment="1" applyBorder="1" applyFont="1" applyNumberFormat="1">
      <alignment horizontal="left" shrinkToFit="1" vertical="center" wrapText="0"/>
    </xf>
    <xf borderId="5" fillId="3" fontId="5" numFmtId="0" xfId="0" applyAlignment="1" applyBorder="1" applyFont="1">
      <alignment horizontal="left" shrinkToFit="1" vertical="center" wrapText="0"/>
    </xf>
    <xf borderId="6" fillId="3" fontId="5" numFmtId="0" xfId="0" applyAlignment="1" applyBorder="1" applyFont="1">
      <alignment horizontal="left" shrinkToFit="1" vertical="center" wrapText="0"/>
    </xf>
    <xf borderId="4" fillId="0" fontId="3" numFmtId="0" xfId="0" applyAlignment="1" applyBorder="1" applyFont="1">
      <alignment horizontal="left" shrinkToFit="1" vertical="bottom" wrapText="0"/>
    </xf>
    <xf borderId="5" fillId="0" fontId="3" numFmtId="0" xfId="0" applyAlignment="1" applyBorder="1" applyFont="1">
      <alignment horizontal="left" shrinkToFit="1" vertical="bottom" wrapText="0"/>
    </xf>
    <xf borderId="5" fillId="0" fontId="3" numFmtId="0" xfId="0" applyAlignment="1" applyBorder="1" applyFont="1">
      <alignment horizontal="left" readingOrder="0" shrinkToFit="1" vertical="bottom" wrapText="0"/>
    </xf>
    <xf borderId="5" fillId="0" fontId="1" numFmtId="0" xfId="0" applyAlignment="1" applyBorder="1" applyFont="1">
      <alignment horizontal="left" shrinkToFit="1" vertical="bottom" wrapText="0"/>
    </xf>
    <xf borderId="5" fillId="4" fontId="1" numFmtId="0" xfId="0" applyAlignment="1" applyBorder="1" applyFill="1" applyFont="1">
      <alignment horizontal="left" shrinkToFit="1" vertical="bottom" wrapText="0"/>
    </xf>
    <xf borderId="7" fillId="4" fontId="3" numFmtId="10" xfId="0" applyAlignment="1" applyBorder="1" applyFont="1" applyNumberFormat="1">
      <alignment horizontal="left" shrinkToFit="1" vertical="center" wrapText="0"/>
    </xf>
    <xf borderId="5" fillId="0" fontId="3" numFmtId="2" xfId="0" applyAlignment="1" applyBorder="1" applyFont="1" applyNumberFormat="1">
      <alignment horizontal="left" vertical="bottom"/>
    </xf>
    <xf borderId="6" fillId="0" fontId="3" numFmtId="2" xfId="0" applyAlignment="1" applyBorder="1" applyFont="1" applyNumberFormat="1">
      <alignment horizontal="left" shrinkToFit="1" vertical="bottom" wrapText="0"/>
    </xf>
    <xf borderId="0" fillId="0" fontId="3" numFmtId="0" xfId="0" applyAlignment="1" applyFont="1">
      <alignment shrinkToFit="1" vertical="bottom" wrapText="0"/>
    </xf>
    <xf borderId="5" fillId="0" fontId="3" numFmtId="3" xfId="0" applyAlignment="1" applyBorder="1" applyFont="1" applyNumberFormat="1">
      <alignment horizontal="left" shrinkToFit="1" vertical="bottom" wrapText="0"/>
    </xf>
    <xf borderId="6" fillId="0" fontId="1" numFmtId="3" xfId="0" applyAlignment="1" applyBorder="1" applyFont="1" applyNumberFormat="1">
      <alignment horizontal="left" shrinkToFit="1" vertical="bottom" wrapText="0"/>
    </xf>
    <xf borderId="8" fillId="0" fontId="3" numFmtId="0" xfId="0" applyAlignment="1" applyBorder="1" applyFont="1">
      <alignment horizontal="left" shrinkToFit="1" vertical="bottom" wrapText="0"/>
    </xf>
    <xf borderId="9" fillId="0" fontId="3" numFmtId="0" xfId="0" applyAlignment="1" applyBorder="1" applyFont="1">
      <alignment horizontal="left" shrinkToFit="1" vertical="bottom" wrapText="0"/>
    </xf>
    <xf borderId="9" fillId="0" fontId="1" numFmtId="0" xfId="0" applyAlignment="1" applyBorder="1" applyFont="1">
      <alignment horizontal="left" shrinkToFit="1" vertical="bottom" wrapText="0"/>
    </xf>
    <xf borderId="9" fillId="4" fontId="1" numFmtId="0" xfId="0" applyAlignment="1" applyBorder="1" applyFont="1">
      <alignment horizontal="left" shrinkToFit="1" vertical="bottom" wrapText="0"/>
    </xf>
    <xf borderId="10" fillId="0" fontId="3" numFmtId="2" xfId="0" applyAlignment="1" applyBorder="1" applyFont="1" applyNumberFormat="1">
      <alignment horizontal="left" shrinkToFit="1" vertical="bottom" wrapText="0"/>
    </xf>
    <xf borderId="9" fillId="0" fontId="3" numFmtId="3" xfId="0" applyAlignment="1" applyBorder="1" applyFont="1" applyNumberFormat="1">
      <alignment horizontal="left" shrinkToFit="1" vertical="bottom" wrapText="0"/>
    </xf>
    <xf borderId="10" fillId="0" fontId="1" numFmtId="3" xfId="0" applyAlignment="1" applyBorder="1" applyFont="1" applyNumberFormat="1">
      <alignment horizontal="left" shrinkToFit="1" vertical="bottom" wrapText="0"/>
    </xf>
    <xf borderId="0" fillId="0" fontId="6" numFmtId="0" xfId="0" applyAlignment="1" applyFont="1">
      <alignment shrinkToFit="1" vertical="bottom" wrapText="0"/>
    </xf>
    <xf borderId="4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5" fillId="0" fontId="3" numFmtId="164" xfId="0" applyAlignment="1" applyBorder="1" applyFont="1" applyNumberFormat="1">
      <alignment horizontal="left" shrinkToFit="1" vertical="bottom" wrapText="0"/>
    </xf>
    <xf borderId="5" fillId="4" fontId="1" numFmtId="164" xfId="0" applyAlignment="1" applyBorder="1" applyFont="1" applyNumberFormat="1">
      <alignment horizontal="left" shrinkToFit="1" vertical="bottom" wrapText="0"/>
    </xf>
    <xf borderId="5" fillId="0" fontId="3" numFmtId="10" xfId="0" applyAlignment="1" applyBorder="1" applyFont="1" applyNumberFormat="1">
      <alignment horizontal="left" shrinkToFit="1" vertical="center" wrapText="0"/>
    </xf>
    <xf borderId="11" fillId="0" fontId="3" numFmtId="164" xfId="0" applyAlignment="1" applyBorder="1" applyFont="1" applyNumberFormat="1">
      <alignment horizontal="left" vertical="bottom"/>
    </xf>
    <xf borderId="6" fillId="0" fontId="1" numFmtId="164" xfId="0" applyAlignment="1" applyBorder="1" applyFont="1" applyNumberFormat="1">
      <alignment horizontal="left" shrinkToFit="1" vertical="bottom" wrapText="0"/>
    </xf>
    <xf borderId="4" fillId="0" fontId="3" numFmtId="164" xfId="0" applyAlignment="1" applyBorder="1" applyFont="1" applyNumberFormat="1">
      <alignment horizontal="left" shrinkToFit="1" vertical="bottom" wrapText="0"/>
    </xf>
    <xf borderId="4" fillId="0" fontId="3" numFmtId="49" xfId="0" applyAlignment="1" applyBorder="1" applyFont="1" applyNumberFormat="1">
      <alignment shrinkToFit="1" vertical="bottom" wrapText="0"/>
    </xf>
    <xf borderId="5" fillId="0" fontId="3" numFmtId="165" xfId="0" applyAlignment="1" applyBorder="1" applyFont="1" applyNumberFormat="1">
      <alignment shrinkToFit="1" vertical="bottom" wrapText="0"/>
    </xf>
    <xf borderId="5" fillId="0" fontId="3" numFmtId="0" xfId="0" applyAlignment="1" applyBorder="1" applyFont="1">
      <alignment vertical="bottom"/>
    </xf>
    <xf borderId="5" fillId="0" fontId="3" numFmtId="49" xfId="0" applyAlignment="1" applyBorder="1" applyFont="1" applyNumberFormat="1">
      <alignment shrinkToFit="1" vertical="bottom" wrapText="0"/>
    </xf>
    <xf borderId="5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0.13"/>
    <col customWidth="1" min="3" max="3" width="6.63"/>
    <col customWidth="1" min="4" max="4" width="26.38"/>
    <col customWidth="1" min="5" max="13" width="6.63"/>
    <col customWidth="1" min="14" max="14" width="7.38"/>
    <col customWidth="1" min="15" max="15" width="6.63"/>
    <col customWidth="1" min="16" max="16" width="2.0"/>
    <col customWidth="1" min="17" max="20" width="6.63"/>
    <col customWidth="1" min="21" max="26" width="10.5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1" t="s">
        <v>1</v>
      </c>
      <c r="R2" s="2"/>
      <c r="S2" s="2"/>
      <c r="T2" s="3"/>
    </row>
    <row r="3" ht="42.7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8"/>
      <c r="Q3" s="9" t="s">
        <v>16</v>
      </c>
      <c r="R3" s="10" t="s">
        <v>17</v>
      </c>
      <c r="S3" s="10" t="s">
        <v>18</v>
      </c>
      <c r="T3" s="11" t="s">
        <v>19</v>
      </c>
    </row>
    <row r="4" ht="15.0" customHeight="1">
      <c r="B4" s="12">
        <v>1.0</v>
      </c>
      <c r="C4" s="13" t="s">
        <v>20</v>
      </c>
      <c r="D4" s="13" t="s">
        <v>21</v>
      </c>
      <c r="E4" s="14">
        <v>526500.0</v>
      </c>
      <c r="F4" s="13"/>
      <c r="G4" s="14">
        <v>96000.0</v>
      </c>
      <c r="H4" s="13"/>
      <c r="I4" s="15">
        <f t="shared" ref="I4:I23" si="1">+SUM(E4:H4)</f>
        <v>622500</v>
      </c>
      <c r="J4" s="13"/>
      <c r="K4" s="13">
        <f t="shared" ref="K4:K23" si="2">+IF(I4&lt;21000,ROUND(I4*0.75%,0),0)</f>
        <v>0</v>
      </c>
      <c r="L4" s="16">
        <f t="shared" ref="L4:L23" si="3">+I4-J4-K4</f>
        <v>622500</v>
      </c>
      <c r="M4" s="17">
        <v>0.0</v>
      </c>
      <c r="N4" s="18">
        <f t="shared" ref="N4:N23" si="4">+L4*M4</f>
        <v>0</v>
      </c>
      <c r="O4" s="19">
        <f t="shared" ref="O4:O23" si="5">+L4-N4</f>
        <v>622500</v>
      </c>
      <c r="P4" s="20"/>
      <c r="Q4" s="12" t="str">
        <f t="shared" ref="Q4:Q23" si="6">+J4</f>
        <v/>
      </c>
      <c r="R4" s="13">
        <f t="shared" ref="R4:R23" si="7">+ROUND(IF(E4&gt;=15000,150,E4*1%)*1,0)</f>
        <v>150</v>
      </c>
      <c r="S4" s="21">
        <f t="shared" ref="S4:S23" si="8">+ROUND((K4/0.75*3.25)*1,0)</f>
        <v>0</v>
      </c>
      <c r="T4" s="22">
        <f t="shared" ref="T4:T23" si="9">+I4+Q4+R4+S4</f>
        <v>622650</v>
      </c>
    </row>
    <row r="5" ht="14.25" customHeight="1">
      <c r="B5" s="12">
        <v>2.0</v>
      </c>
      <c r="C5" s="13" t="s">
        <v>22</v>
      </c>
      <c r="D5" s="13" t="s">
        <v>23</v>
      </c>
      <c r="E5" s="13">
        <v>50000.0</v>
      </c>
      <c r="F5" s="13">
        <f t="shared" ref="F5:F23" si="10">++E5*10%</f>
        <v>5000</v>
      </c>
      <c r="G5" s="13">
        <f t="shared" ref="G5:G23" si="11">+E5*50%</f>
        <v>25000</v>
      </c>
      <c r="H5" s="13">
        <f t="shared" ref="H5:H23" si="12">+E5*15%</f>
        <v>7500</v>
      </c>
      <c r="I5" s="15">
        <f t="shared" si="1"/>
        <v>87500</v>
      </c>
      <c r="J5" s="13">
        <f t="shared" ref="J5:J23" si="13">+ROUND(IF(E5&gt;15000,1800,E5*12%)*1,0)</f>
        <v>1800</v>
      </c>
      <c r="K5" s="13">
        <f t="shared" si="2"/>
        <v>0</v>
      </c>
      <c r="L5" s="16">
        <f t="shared" si="3"/>
        <v>85700</v>
      </c>
      <c r="M5" s="17">
        <v>0.32674445740956826</v>
      </c>
      <c r="N5" s="18">
        <f t="shared" si="4"/>
        <v>28002</v>
      </c>
      <c r="O5" s="19">
        <f t="shared" si="5"/>
        <v>57698</v>
      </c>
      <c r="P5" s="20"/>
      <c r="Q5" s="12">
        <f t="shared" si="6"/>
        <v>1800</v>
      </c>
      <c r="R5" s="13">
        <f t="shared" si="7"/>
        <v>150</v>
      </c>
      <c r="S5" s="21">
        <f t="shared" si="8"/>
        <v>0</v>
      </c>
      <c r="T5" s="22">
        <f t="shared" si="9"/>
        <v>89450</v>
      </c>
    </row>
    <row r="6" ht="14.25" customHeight="1">
      <c r="B6" s="12">
        <v>3.0</v>
      </c>
      <c r="C6" s="13" t="s">
        <v>24</v>
      </c>
      <c r="D6" s="13" t="s">
        <v>25</v>
      </c>
      <c r="E6" s="13">
        <v>80000.0</v>
      </c>
      <c r="F6" s="13">
        <f t="shared" si="10"/>
        <v>8000</v>
      </c>
      <c r="G6" s="13">
        <f t="shared" si="11"/>
        <v>40000</v>
      </c>
      <c r="H6" s="13">
        <f t="shared" si="12"/>
        <v>12000</v>
      </c>
      <c r="I6" s="15">
        <f t="shared" si="1"/>
        <v>140000</v>
      </c>
      <c r="J6" s="13">
        <f t="shared" si="13"/>
        <v>1800</v>
      </c>
      <c r="K6" s="13">
        <f t="shared" si="2"/>
        <v>0</v>
      </c>
      <c r="L6" s="16">
        <f t="shared" si="3"/>
        <v>138200</v>
      </c>
      <c r="M6" s="17">
        <v>0.41968740955137485</v>
      </c>
      <c r="N6" s="18">
        <f t="shared" si="4"/>
        <v>58000.8</v>
      </c>
      <c r="O6" s="19">
        <f t="shared" si="5"/>
        <v>80199.2</v>
      </c>
      <c r="P6" s="20"/>
      <c r="Q6" s="12">
        <f t="shared" si="6"/>
        <v>1800</v>
      </c>
      <c r="R6" s="13">
        <f t="shared" si="7"/>
        <v>150</v>
      </c>
      <c r="S6" s="21">
        <f t="shared" si="8"/>
        <v>0</v>
      </c>
      <c r="T6" s="22">
        <f t="shared" si="9"/>
        <v>141950</v>
      </c>
    </row>
    <row r="7" ht="14.25" customHeight="1">
      <c r="B7" s="12">
        <v>4.0</v>
      </c>
      <c r="C7" s="13" t="s">
        <v>26</v>
      </c>
      <c r="D7" s="13" t="s">
        <v>27</v>
      </c>
      <c r="E7" s="13">
        <v>10000.0</v>
      </c>
      <c r="F7" s="13">
        <f t="shared" si="10"/>
        <v>1000</v>
      </c>
      <c r="G7" s="13">
        <f t="shared" si="11"/>
        <v>5000</v>
      </c>
      <c r="H7" s="13">
        <f t="shared" si="12"/>
        <v>1500</v>
      </c>
      <c r="I7" s="15">
        <f t="shared" si="1"/>
        <v>17500</v>
      </c>
      <c r="J7" s="13">
        <f t="shared" si="13"/>
        <v>1200</v>
      </c>
      <c r="K7" s="13">
        <f t="shared" si="2"/>
        <v>131</v>
      </c>
      <c r="L7" s="16">
        <f t="shared" si="3"/>
        <v>16169</v>
      </c>
      <c r="M7" s="17">
        <v>0.0</v>
      </c>
      <c r="N7" s="18">
        <f t="shared" si="4"/>
        <v>0</v>
      </c>
      <c r="O7" s="19">
        <f t="shared" si="5"/>
        <v>16169</v>
      </c>
      <c r="P7" s="20"/>
      <c r="Q7" s="12">
        <f t="shared" si="6"/>
        <v>1200</v>
      </c>
      <c r="R7" s="13">
        <f t="shared" si="7"/>
        <v>100</v>
      </c>
      <c r="S7" s="21">
        <f t="shared" si="8"/>
        <v>568</v>
      </c>
      <c r="T7" s="22">
        <f t="shared" si="9"/>
        <v>19368</v>
      </c>
    </row>
    <row r="8" ht="14.25" customHeight="1">
      <c r="B8" s="12">
        <v>5.0</v>
      </c>
      <c r="C8" s="13" t="s">
        <v>28</v>
      </c>
      <c r="D8" s="13" t="s">
        <v>29</v>
      </c>
      <c r="E8" s="13">
        <v>13000.0</v>
      </c>
      <c r="F8" s="13">
        <f t="shared" si="10"/>
        <v>1300</v>
      </c>
      <c r="G8" s="13">
        <f t="shared" si="11"/>
        <v>6500</v>
      </c>
      <c r="H8" s="13">
        <f t="shared" si="12"/>
        <v>1950</v>
      </c>
      <c r="I8" s="15">
        <f t="shared" si="1"/>
        <v>22750</v>
      </c>
      <c r="J8" s="13">
        <f t="shared" si="13"/>
        <v>1560</v>
      </c>
      <c r="K8" s="13">
        <f t="shared" si="2"/>
        <v>0</v>
      </c>
      <c r="L8" s="16">
        <f t="shared" si="3"/>
        <v>21190</v>
      </c>
      <c r="M8" s="17">
        <v>0.0</v>
      </c>
      <c r="N8" s="18">
        <f t="shared" si="4"/>
        <v>0</v>
      </c>
      <c r="O8" s="19">
        <f t="shared" si="5"/>
        <v>21190</v>
      </c>
      <c r="P8" s="20"/>
      <c r="Q8" s="12">
        <f t="shared" si="6"/>
        <v>1560</v>
      </c>
      <c r="R8" s="13">
        <f t="shared" si="7"/>
        <v>130</v>
      </c>
      <c r="S8" s="21">
        <f t="shared" si="8"/>
        <v>0</v>
      </c>
      <c r="T8" s="22">
        <f t="shared" si="9"/>
        <v>24440</v>
      </c>
    </row>
    <row r="9" ht="14.25" customHeight="1">
      <c r="B9" s="12">
        <v>6.0</v>
      </c>
      <c r="C9" s="13" t="s">
        <v>30</v>
      </c>
      <c r="D9" s="13" t="s">
        <v>31</v>
      </c>
      <c r="E9" s="13">
        <v>8000.0</v>
      </c>
      <c r="F9" s="13">
        <f t="shared" si="10"/>
        <v>800</v>
      </c>
      <c r="G9" s="13">
        <f t="shared" si="11"/>
        <v>4000</v>
      </c>
      <c r="H9" s="13">
        <f t="shared" si="12"/>
        <v>1200</v>
      </c>
      <c r="I9" s="15">
        <f t="shared" si="1"/>
        <v>14000</v>
      </c>
      <c r="J9" s="13">
        <f t="shared" si="13"/>
        <v>960</v>
      </c>
      <c r="K9" s="13">
        <f t="shared" si="2"/>
        <v>105</v>
      </c>
      <c r="L9" s="16">
        <f t="shared" si="3"/>
        <v>12935</v>
      </c>
      <c r="M9" s="17">
        <v>0.0</v>
      </c>
      <c r="N9" s="18">
        <f t="shared" si="4"/>
        <v>0</v>
      </c>
      <c r="O9" s="19">
        <f t="shared" si="5"/>
        <v>12935</v>
      </c>
      <c r="P9" s="20"/>
      <c r="Q9" s="12">
        <f t="shared" si="6"/>
        <v>960</v>
      </c>
      <c r="R9" s="13">
        <f t="shared" si="7"/>
        <v>80</v>
      </c>
      <c r="S9" s="21">
        <f t="shared" si="8"/>
        <v>455</v>
      </c>
      <c r="T9" s="22">
        <f t="shared" si="9"/>
        <v>15495</v>
      </c>
    </row>
    <row r="10" ht="14.25" customHeight="1">
      <c r="B10" s="12">
        <v>7.0</v>
      </c>
      <c r="C10" s="13" t="s">
        <v>32</v>
      </c>
      <c r="D10" s="13" t="s">
        <v>33</v>
      </c>
      <c r="E10" s="13">
        <v>35000.0</v>
      </c>
      <c r="F10" s="13">
        <f t="shared" si="10"/>
        <v>3500</v>
      </c>
      <c r="G10" s="13">
        <f t="shared" si="11"/>
        <v>17500</v>
      </c>
      <c r="H10" s="13">
        <f t="shared" si="12"/>
        <v>5250</v>
      </c>
      <c r="I10" s="15">
        <f t="shared" si="1"/>
        <v>61250</v>
      </c>
      <c r="J10" s="13">
        <f t="shared" si="13"/>
        <v>1800</v>
      </c>
      <c r="K10" s="13">
        <f t="shared" si="2"/>
        <v>0</v>
      </c>
      <c r="L10" s="16">
        <f t="shared" si="3"/>
        <v>59450</v>
      </c>
      <c r="M10" s="17">
        <v>0.18342136248948696</v>
      </c>
      <c r="N10" s="18">
        <f t="shared" si="4"/>
        <v>10904.4</v>
      </c>
      <c r="O10" s="19">
        <f t="shared" si="5"/>
        <v>48545.6</v>
      </c>
      <c r="P10" s="20"/>
      <c r="Q10" s="12">
        <f t="shared" si="6"/>
        <v>1800</v>
      </c>
      <c r="R10" s="13">
        <f t="shared" si="7"/>
        <v>150</v>
      </c>
      <c r="S10" s="21">
        <f t="shared" si="8"/>
        <v>0</v>
      </c>
      <c r="T10" s="22">
        <f t="shared" si="9"/>
        <v>63200</v>
      </c>
    </row>
    <row r="11" ht="14.25" customHeight="1">
      <c r="B11" s="12">
        <v>8.0</v>
      </c>
      <c r="C11" s="13" t="s">
        <v>34</v>
      </c>
      <c r="D11" s="13" t="s">
        <v>35</v>
      </c>
      <c r="E11" s="13">
        <v>12000.0</v>
      </c>
      <c r="F11" s="13">
        <f t="shared" si="10"/>
        <v>1200</v>
      </c>
      <c r="G11" s="13">
        <f t="shared" si="11"/>
        <v>6000</v>
      </c>
      <c r="H11" s="13">
        <f t="shared" si="12"/>
        <v>1800</v>
      </c>
      <c r="I11" s="15">
        <f t="shared" si="1"/>
        <v>21000</v>
      </c>
      <c r="J11" s="13">
        <f t="shared" si="13"/>
        <v>1440</v>
      </c>
      <c r="K11" s="13">
        <f t="shared" si="2"/>
        <v>0</v>
      </c>
      <c r="L11" s="16">
        <f t="shared" si="3"/>
        <v>19560</v>
      </c>
      <c r="M11" s="17">
        <v>0.0</v>
      </c>
      <c r="N11" s="18">
        <f t="shared" si="4"/>
        <v>0</v>
      </c>
      <c r="O11" s="19">
        <f t="shared" si="5"/>
        <v>19560</v>
      </c>
      <c r="P11" s="20"/>
      <c r="Q11" s="12">
        <f t="shared" si="6"/>
        <v>1440</v>
      </c>
      <c r="R11" s="13">
        <f t="shared" si="7"/>
        <v>120</v>
      </c>
      <c r="S11" s="21">
        <f t="shared" si="8"/>
        <v>0</v>
      </c>
      <c r="T11" s="22">
        <f t="shared" si="9"/>
        <v>22560</v>
      </c>
    </row>
    <row r="12" ht="14.25" customHeight="1">
      <c r="B12" s="12">
        <v>9.0</v>
      </c>
      <c r="C12" s="13" t="s">
        <v>36</v>
      </c>
      <c r="D12" s="13" t="s">
        <v>37</v>
      </c>
      <c r="E12" s="13">
        <v>24000.0</v>
      </c>
      <c r="F12" s="13">
        <f t="shared" si="10"/>
        <v>2400</v>
      </c>
      <c r="G12" s="13">
        <f t="shared" si="11"/>
        <v>12000</v>
      </c>
      <c r="H12" s="13">
        <f t="shared" si="12"/>
        <v>3600</v>
      </c>
      <c r="I12" s="15">
        <f t="shared" si="1"/>
        <v>42000</v>
      </c>
      <c r="J12" s="13">
        <f t="shared" si="13"/>
        <v>1800</v>
      </c>
      <c r="K12" s="13">
        <f t="shared" si="2"/>
        <v>0</v>
      </c>
      <c r="L12" s="16">
        <f t="shared" si="3"/>
        <v>40200</v>
      </c>
      <c r="M12" s="17">
        <v>0.0</v>
      </c>
      <c r="N12" s="18">
        <f t="shared" si="4"/>
        <v>0</v>
      </c>
      <c r="O12" s="19">
        <f t="shared" si="5"/>
        <v>40200</v>
      </c>
      <c r="P12" s="20"/>
      <c r="Q12" s="12">
        <f t="shared" si="6"/>
        <v>1800</v>
      </c>
      <c r="R12" s="13">
        <f t="shared" si="7"/>
        <v>150</v>
      </c>
      <c r="S12" s="21">
        <f t="shared" si="8"/>
        <v>0</v>
      </c>
      <c r="T12" s="22">
        <f t="shared" si="9"/>
        <v>43950</v>
      </c>
    </row>
    <row r="13" ht="14.25" customHeight="1">
      <c r="B13" s="12">
        <v>10.0</v>
      </c>
      <c r="C13" s="13" t="s">
        <v>38</v>
      </c>
      <c r="D13" s="13" t="s">
        <v>39</v>
      </c>
      <c r="E13" s="13">
        <v>150000.0</v>
      </c>
      <c r="F13" s="13">
        <f t="shared" si="10"/>
        <v>15000</v>
      </c>
      <c r="G13" s="13">
        <f t="shared" si="11"/>
        <v>75000</v>
      </c>
      <c r="H13" s="13">
        <f t="shared" si="12"/>
        <v>22500</v>
      </c>
      <c r="I13" s="15">
        <f t="shared" si="1"/>
        <v>262500</v>
      </c>
      <c r="J13" s="13">
        <f t="shared" si="13"/>
        <v>1800</v>
      </c>
      <c r="K13" s="13">
        <f t="shared" si="2"/>
        <v>0</v>
      </c>
      <c r="L13" s="16">
        <f t="shared" si="3"/>
        <v>260700</v>
      </c>
      <c r="M13" s="17">
        <v>0.6582577675489067</v>
      </c>
      <c r="N13" s="18">
        <f t="shared" si="4"/>
        <v>171607.8</v>
      </c>
      <c r="O13" s="19">
        <f t="shared" si="5"/>
        <v>89092.2</v>
      </c>
      <c r="P13" s="20"/>
      <c r="Q13" s="12">
        <f t="shared" si="6"/>
        <v>1800</v>
      </c>
      <c r="R13" s="13">
        <f t="shared" si="7"/>
        <v>150</v>
      </c>
      <c r="S13" s="21">
        <f t="shared" si="8"/>
        <v>0</v>
      </c>
      <c r="T13" s="22">
        <f t="shared" si="9"/>
        <v>264450</v>
      </c>
    </row>
    <row r="14" ht="14.25" customHeight="1">
      <c r="B14" s="12">
        <v>11.0</v>
      </c>
      <c r="C14" s="13" t="s">
        <v>40</v>
      </c>
      <c r="D14" s="13" t="s">
        <v>41</v>
      </c>
      <c r="E14" s="13">
        <v>75000.0</v>
      </c>
      <c r="F14" s="13">
        <f t="shared" si="10"/>
        <v>7500</v>
      </c>
      <c r="G14" s="13">
        <f t="shared" si="11"/>
        <v>37500</v>
      </c>
      <c r="H14" s="13">
        <f t="shared" si="12"/>
        <v>11250</v>
      </c>
      <c r="I14" s="15">
        <f t="shared" si="1"/>
        <v>131250</v>
      </c>
      <c r="J14" s="13">
        <f t="shared" si="13"/>
        <v>1800</v>
      </c>
      <c r="K14" s="13">
        <f t="shared" si="2"/>
        <v>0</v>
      </c>
      <c r="L14" s="16">
        <f t="shared" si="3"/>
        <v>129450</v>
      </c>
      <c r="M14" s="17">
        <v>0.42720741599073003</v>
      </c>
      <c r="N14" s="18">
        <f t="shared" si="4"/>
        <v>55302</v>
      </c>
      <c r="O14" s="19">
        <f t="shared" si="5"/>
        <v>74148</v>
      </c>
      <c r="P14" s="20"/>
      <c r="Q14" s="12">
        <f t="shared" si="6"/>
        <v>1800</v>
      </c>
      <c r="R14" s="13">
        <f t="shared" si="7"/>
        <v>150</v>
      </c>
      <c r="S14" s="21">
        <f t="shared" si="8"/>
        <v>0</v>
      </c>
      <c r="T14" s="22">
        <f t="shared" si="9"/>
        <v>133200</v>
      </c>
    </row>
    <row r="15" ht="14.25" customHeight="1">
      <c r="B15" s="12">
        <v>12.0</v>
      </c>
      <c r="C15" s="13" t="s">
        <v>42</v>
      </c>
      <c r="D15" s="13" t="s">
        <v>43</v>
      </c>
      <c r="E15" s="13">
        <v>90000.0</v>
      </c>
      <c r="F15" s="13">
        <f t="shared" si="10"/>
        <v>9000</v>
      </c>
      <c r="G15" s="13">
        <f t="shared" si="11"/>
        <v>45000</v>
      </c>
      <c r="H15" s="13">
        <f t="shared" si="12"/>
        <v>13500</v>
      </c>
      <c r="I15" s="15">
        <f t="shared" si="1"/>
        <v>157500</v>
      </c>
      <c r="J15" s="13">
        <f t="shared" si="13"/>
        <v>1800</v>
      </c>
      <c r="K15" s="13">
        <f t="shared" si="2"/>
        <v>0</v>
      </c>
      <c r="L15" s="16">
        <f t="shared" si="3"/>
        <v>155700</v>
      </c>
      <c r="M15" s="17">
        <v>0.4848323699421965</v>
      </c>
      <c r="N15" s="18">
        <f t="shared" si="4"/>
        <v>75488.4</v>
      </c>
      <c r="O15" s="19">
        <f t="shared" si="5"/>
        <v>80211.6</v>
      </c>
      <c r="P15" s="20"/>
      <c r="Q15" s="12">
        <f t="shared" si="6"/>
        <v>1800</v>
      </c>
      <c r="R15" s="13">
        <f t="shared" si="7"/>
        <v>150</v>
      </c>
      <c r="S15" s="21">
        <f t="shared" si="8"/>
        <v>0</v>
      </c>
      <c r="T15" s="22">
        <f t="shared" si="9"/>
        <v>159450</v>
      </c>
    </row>
    <row r="16" ht="14.25" customHeight="1">
      <c r="B16" s="12">
        <v>13.0</v>
      </c>
      <c r="C16" s="13" t="s">
        <v>44</v>
      </c>
      <c r="D16" s="13" t="s">
        <v>45</v>
      </c>
      <c r="E16" s="13">
        <v>30000.0</v>
      </c>
      <c r="F16" s="13">
        <f t="shared" si="10"/>
        <v>3000</v>
      </c>
      <c r="G16" s="13">
        <f t="shared" si="11"/>
        <v>15000</v>
      </c>
      <c r="H16" s="13">
        <f t="shared" si="12"/>
        <v>4500</v>
      </c>
      <c r="I16" s="15">
        <f t="shared" si="1"/>
        <v>52500</v>
      </c>
      <c r="J16" s="13">
        <f t="shared" si="13"/>
        <v>1800</v>
      </c>
      <c r="K16" s="13">
        <f t="shared" si="2"/>
        <v>0</v>
      </c>
      <c r="L16" s="16">
        <f t="shared" si="3"/>
        <v>50700</v>
      </c>
      <c r="M16" s="17">
        <v>0.0</v>
      </c>
      <c r="N16" s="18">
        <f t="shared" si="4"/>
        <v>0</v>
      </c>
      <c r="O16" s="19">
        <f t="shared" si="5"/>
        <v>50700</v>
      </c>
      <c r="P16" s="20"/>
      <c r="Q16" s="12">
        <f t="shared" si="6"/>
        <v>1800</v>
      </c>
      <c r="R16" s="13">
        <f t="shared" si="7"/>
        <v>150</v>
      </c>
      <c r="S16" s="21">
        <f t="shared" si="8"/>
        <v>0</v>
      </c>
      <c r="T16" s="22">
        <f t="shared" si="9"/>
        <v>54450</v>
      </c>
    </row>
    <row r="17" ht="14.25" customHeight="1">
      <c r="B17" s="12">
        <v>14.0</v>
      </c>
      <c r="C17" s="13" t="s">
        <v>46</v>
      </c>
      <c r="D17" s="13" t="s">
        <v>47</v>
      </c>
      <c r="E17" s="13">
        <v>32000.0</v>
      </c>
      <c r="F17" s="13">
        <f t="shared" si="10"/>
        <v>3200</v>
      </c>
      <c r="G17" s="13">
        <f t="shared" si="11"/>
        <v>16000</v>
      </c>
      <c r="H17" s="13">
        <f t="shared" si="12"/>
        <v>4800</v>
      </c>
      <c r="I17" s="15">
        <f t="shared" si="1"/>
        <v>56000</v>
      </c>
      <c r="J17" s="13">
        <f t="shared" si="13"/>
        <v>1800</v>
      </c>
      <c r="K17" s="13">
        <f t="shared" si="2"/>
        <v>0</v>
      </c>
      <c r="L17" s="16">
        <f t="shared" si="3"/>
        <v>54200</v>
      </c>
      <c r="M17" s="17">
        <v>0.06710110701107011</v>
      </c>
      <c r="N17" s="18">
        <f t="shared" si="4"/>
        <v>3636.88</v>
      </c>
      <c r="O17" s="19">
        <f t="shared" si="5"/>
        <v>50563.12</v>
      </c>
      <c r="P17" s="20"/>
      <c r="Q17" s="12">
        <f t="shared" si="6"/>
        <v>1800</v>
      </c>
      <c r="R17" s="13">
        <f t="shared" si="7"/>
        <v>150</v>
      </c>
      <c r="S17" s="21">
        <f t="shared" si="8"/>
        <v>0</v>
      </c>
      <c r="T17" s="22">
        <f t="shared" si="9"/>
        <v>57950</v>
      </c>
    </row>
    <row r="18" ht="14.25" customHeight="1">
      <c r="B18" s="12">
        <v>15.0</v>
      </c>
      <c r="C18" s="13" t="s">
        <v>48</v>
      </c>
      <c r="D18" s="13" t="s">
        <v>49</v>
      </c>
      <c r="E18" s="13">
        <v>45000.0</v>
      </c>
      <c r="F18" s="13">
        <f t="shared" si="10"/>
        <v>4500</v>
      </c>
      <c r="G18" s="13">
        <f t="shared" si="11"/>
        <v>22500</v>
      </c>
      <c r="H18" s="13">
        <f t="shared" si="12"/>
        <v>6750</v>
      </c>
      <c r="I18" s="15">
        <f t="shared" si="1"/>
        <v>78750</v>
      </c>
      <c r="J18" s="13">
        <f t="shared" si="13"/>
        <v>1800</v>
      </c>
      <c r="K18" s="13">
        <f t="shared" si="2"/>
        <v>0</v>
      </c>
      <c r="L18" s="16">
        <f t="shared" si="3"/>
        <v>76950</v>
      </c>
      <c r="M18" s="17">
        <v>0.2155009746588694</v>
      </c>
      <c r="N18" s="18">
        <f t="shared" si="4"/>
        <v>16582.8</v>
      </c>
      <c r="O18" s="19">
        <f t="shared" si="5"/>
        <v>60367.2</v>
      </c>
      <c r="P18" s="20"/>
      <c r="Q18" s="12">
        <f t="shared" si="6"/>
        <v>1800</v>
      </c>
      <c r="R18" s="13">
        <f t="shared" si="7"/>
        <v>150</v>
      </c>
      <c r="S18" s="21">
        <f t="shared" si="8"/>
        <v>0</v>
      </c>
      <c r="T18" s="22">
        <f t="shared" si="9"/>
        <v>80700</v>
      </c>
    </row>
    <row r="19" ht="14.25" customHeight="1">
      <c r="B19" s="12">
        <v>16.0</v>
      </c>
      <c r="C19" s="13" t="s">
        <v>50</v>
      </c>
      <c r="D19" s="13" t="s">
        <v>51</v>
      </c>
      <c r="E19" s="13">
        <v>48000.0</v>
      </c>
      <c r="F19" s="13">
        <f t="shared" si="10"/>
        <v>4800</v>
      </c>
      <c r="G19" s="13">
        <f t="shared" si="11"/>
        <v>24000</v>
      </c>
      <c r="H19" s="13">
        <f t="shared" si="12"/>
        <v>7200</v>
      </c>
      <c r="I19" s="15">
        <f t="shared" si="1"/>
        <v>84000</v>
      </c>
      <c r="J19" s="13">
        <f t="shared" si="13"/>
        <v>1800</v>
      </c>
      <c r="K19" s="13">
        <f t="shared" si="2"/>
        <v>0</v>
      </c>
      <c r="L19" s="16">
        <f t="shared" si="3"/>
        <v>82200</v>
      </c>
      <c r="M19" s="17">
        <v>0.2332155717761557</v>
      </c>
      <c r="N19" s="18">
        <f t="shared" si="4"/>
        <v>19170.32</v>
      </c>
      <c r="O19" s="19">
        <f t="shared" si="5"/>
        <v>63029.68</v>
      </c>
      <c r="P19" s="20"/>
      <c r="Q19" s="12">
        <f t="shared" si="6"/>
        <v>1800</v>
      </c>
      <c r="R19" s="13">
        <f t="shared" si="7"/>
        <v>150</v>
      </c>
      <c r="S19" s="21">
        <f t="shared" si="8"/>
        <v>0</v>
      </c>
      <c r="T19" s="22">
        <f t="shared" si="9"/>
        <v>85950</v>
      </c>
    </row>
    <row r="20" ht="14.25" customHeight="1">
      <c r="B20" s="12">
        <v>17.0</v>
      </c>
      <c r="C20" s="13" t="s">
        <v>52</v>
      </c>
      <c r="D20" s="13" t="s">
        <v>53</v>
      </c>
      <c r="E20" s="13">
        <v>18000.0</v>
      </c>
      <c r="F20" s="13">
        <f t="shared" si="10"/>
        <v>1800</v>
      </c>
      <c r="G20" s="13">
        <f t="shared" si="11"/>
        <v>9000</v>
      </c>
      <c r="H20" s="13">
        <f t="shared" si="12"/>
        <v>2700</v>
      </c>
      <c r="I20" s="15">
        <f t="shared" si="1"/>
        <v>31500</v>
      </c>
      <c r="J20" s="13">
        <f t="shared" si="13"/>
        <v>1800</v>
      </c>
      <c r="K20" s="13">
        <f t="shared" si="2"/>
        <v>0</v>
      </c>
      <c r="L20" s="16">
        <f t="shared" si="3"/>
        <v>29700</v>
      </c>
      <c r="M20" s="17">
        <v>0.0</v>
      </c>
      <c r="N20" s="18">
        <f t="shared" si="4"/>
        <v>0</v>
      </c>
      <c r="O20" s="19">
        <f t="shared" si="5"/>
        <v>29700</v>
      </c>
      <c r="P20" s="20"/>
      <c r="Q20" s="12">
        <f t="shared" si="6"/>
        <v>1800</v>
      </c>
      <c r="R20" s="13">
        <f t="shared" si="7"/>
        <v>150</v>
      </c>
      <c r="S20" s="21">
        <f t="shared" si="8"/>
        <v>0</v>
      </c>
      <c r="T20" s="22">
        <f t="shared" si="9"/>
        <v>33450</v>
      </c>
    </row>
    <row r="21" ht="14.25" customHeight="1">
      <c r="B21" s="12">
        <v>18.0</v>
      </c>
      <c r="C21" s="13" t="s">
        <v>54</v>
      </c>
      <c r="D21" s="13" t="s">
        <v>55</v>
      </c>
      <c r="E21" s="13">
        <v>21000.0</v>
      </c>
      <c r="F21" s="13">
        <f t="shared" si="10"/>
        <v>2100</v>
      </c>
      <c r="G21" s="13">
        <f t="shared" si="11"/>
        <v>10500</v>
      </c>
      <c r="H21" s="13">
        <f t="shared" si="12"/>
        <v>3150</v>
      </c>
      <c r="I21" s="15">
        <f t="shared" si="1"/>
        <v>36750</v>
      </c>
      <c r="J21" s="13">
        <f t="shared" si="13"/>
        <v>1800</v>
      </c>
      <c r="K21" s="13">
        <f t="shared" si="2"/>
        <v>0</v>
      </c>
      <c r="L21" s="16">
        <f t="shared" si="3"/>
        <v>34950</v>
      </c>
      <c r="M21" s="17">
        <v>0.0</v>
      </c>
      <c r="N21" s="18">
        <f t="shared" si="4"/>
        <v>0</v>
      </c>
      <c r="O21" s="19">
        <f t="shared" si="5"/>
        <v>34950</v>
      </c>
      <c r="P21" s="20"/>
      <c r="Q21" s="12">
        <f t="shared" si="6"/>
        <v>1800</v>
      </c>
      <c r="R21" s="13">
        <f t="shared" si="7"/>
        <v>150</v>
      </c>
      <c r="S21" s="21">
        <f t="shared" si="8"/>
        <v>0</v>
      </c>
      <c r="T21" s="22">
        <f t="shared" si="9"/>
        <v>38700</v>
      </c>
    </row>
    <row r="22" ht="14.25" customHeight="1">
      <c r="B22" s="12">
        <v>19.0</v>
      </c>
      <c r="C22" s="13" t="s">
        <v>56</v>
      </c>
      <c r="D22" s="13" t="s">
        <v>57</v>
      </c>
      <c r="E22" s="13">
        <v>15000.0</v>
      </c>
      <c r="F22" s="13">
        <f t="shared" si="10"/>
        <v>1500</v>
      </c>
      <c r="G22" s="13">
        <f t="shared" si="11"/>
        <v>7500</v>
      </c>
      <c r="H22" s="13">
        <f t="shared" si="12"/>
        <v>2250</v>
      </c>
      <c r="I22" s="15">
        <f t="shared" si="1"/>
        <v>26250</v>
      </c>
      <c r="J22" s="13">
        <f t="shared" si="13"/>
        <v>1800</v>
      </c>
      <c r="K22" s="13">
        <f t="shared" si="2"/>
        <v>0</v>
      </c>
      <c r="L22" s="16">
        <f t="shared" si="3"/>
        <v>24450</v>
      </c>
      <c r="M22" s="17">
        <v>0.0</v>
      </c>
      <c r="N22" s="18">
        <f t="shared" si="4"/>
        <v>0</v>
      </c>
      <c r="O22" s="19">
        <f t="shared" si="5"/>
        <v>24450</v>
      </c>
      <c r="P22" s="20"/>
      <c r="Q22" s="12">
        <f t="shared" si="6"/>
        <v>1800</v>
      </c>
      <c r="R22" s="13">
        <f t="shared" si="7"/>
        <v>150</v>
      </c>
      <c r="S22" s="21">
        <f t="shared" si="8"/>
        <v>0</v>
      </c>
      <c r="T22" s="22">
        <f t="shared" si="9"/>
        <v>28200</v>
      </c>
    </row>
    <row r="23" ht="14.25" customHeight="1">
      <c r="B23" s="23">
        <v>20.0</v>
      </c>
      <c r="C23" s="24" t="s">
        <v>58</v>
      </c>
      <c r="D23" s="24" t="s">
        <v>59</v>
      </c>
      <c r="E23" s="24">
        <v>70000.0</v>
      </c>
      <c r="F23" s="24">
        <f t="shared" si="10"/>
        <v>7000</v>
      </c>
      <c r="G23" s="24">
        <f t="shared" si="11"/>
        <v>35000</v>
      </c>
      <c r="H23" s="24">
        <f t="shared" si="12"/>
        <v>10500</v>
      </c>
      <c r="I23" s="25">
        <f t="shared" si="1"/>
        <v>122500</v>
      </c>
      <c r="J23" s="24">
        <f t="shared" si="13"/>
        <v>1800</v>
      </c>
      <c r="K23" s="24">
        <f t="shared" si="2"/>
        <v>0</v>
      </c>
      <c r="L23" s="26">
        <f t="shared" si="3"/>
        <v>120700</v>
      </c>
      <c r="M23" s="17">
        <v>0.35180778790389394</v>
      </c>
      <c r="N23" s="18">
        <f t="shared" si="4"/>
        <v>42463.2</v>
      </c>
      <c r="O23" s="27">
        <f t="shared" si="5"/>
        <v>78236.8</v>
      </c>
      <c r="P23" s="20"/>
      <c r="Q23" s="23">
        <f t="shared" si="6"/>
        <v>1800</v>
      </c>
      <c r="R23" s="24">
        <f t="shared" si="7"/>
        <v>150</v>
      </c>
      <c r="S23" s="28">
        <f t="shared" si="8"/>
        <v>0</v>
      </c>
      <c r="T23" s="29">
        <f t="shared" si="9"/>
        <v>124450</v>
      </c>
    </row>
    <row r="24" ht="14.25" customHeight="1"/>
    <row r="25" ht="14.25" customHeight="1"/>
    <row r="26" ht="14.25" customHeight="1">
      <c r="J26" s="3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O2"/>
    <mergeCell ref="Q2: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15" width="9.13"/>
    <col customWidth="1" min="16" max="16" width="3.5"/>
    <col customWidth="1" min="17" max="24" width="9.13"/>
    <col customWidth="1" min="25" max="25" width="10.0"/>
    <col customWidth="1" min="26" max="37" width="9.13"/>
  </cols>
  <sheetData>
    <row r="1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4.25" customHeight="1">
      <c r="A2" s="4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1" t="s">
        <v>1</v>
      </c>
      <c r="R2" s="2"/>
      <c r="S2" s="2"/>
      <c r="T2" s="3"/>
      <c r="U2" s="4"/>
      <c r="V2" s="1" t="s">
        <v>60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4.25" customHeight="1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61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8"/>
      <c r="Q3" s="9" t="s">
        <v>16</v>
      </c>
      <c r="R3" s="10" t="s">
        <v>17</v>
      </c>
      <c r="S3" s="10" t="s">
        <v>18</v>
      </c>
      <c r="T3" s="11" t="s">
        <v>19</v>
      </c>
      <c r="U3" s="4"/>
      <c r="V3" s="31" t="s">
        <v>62</v>
      </c>
      <c r="W3" s="32" t="s">
        <v>63</v>
      </c>
      <c r="X3" s="32" t="s">
        <v>64</v>
      </c>
      <c r="Y3" s="32" t="s">
        <v>65</v>
      </c>
      <c r="Z3" s="32" t="s">
        <v>66</v>
      </c>
      <c r="AA3" s="32" t="s">
        <v>67</v>
      </c>
      <c r="AB3" s="32" t="s">
        <v>68</v>
      </c>
      <c r="AC3" s="32" t="s">
        <v>69</v>
      </c>
      <c r="AD3" s="32" t="s">
        <v>70</v>
      </c>
      <c r="AE3" s="32" t="s">
        <v>71</v>
      </c>
      <c r="AF3" s="32" t="s">
        <v>72</v>
      </c>
      <c r="AG3" s="32" t="s">
        <v>73</v>
      </c>
      <c r="AH3" s="32" t="s">
        <v>74</v>
      </c>
      <c r="AI3" s="32" t="s">
        <v>75</v>
      </c>
      <c r="AJ3" s="32" t="s">
        <v>76</v>
      </c>
      <c r="AK3" s="33" t="s">
        <v>77</v>
      </c>
    </row>
    <row r="4" ht="14.25" customHeight="1">
      <c r="A4" s="4"/>
      <c r="B4" s="12">
        <v>1.0</v>
      </c>
      <c r="C4" s="14" t="s">
        <v>78</v>
      </c>
      <c r="D4" s="14" t="s">
        <v>79</v>
      </c>
      <c r="E4" s="34">
        <f>14000*12</f>
        <v>168000</v>
      </c>
      <c r="F4" s="34">
        <f t="shared" ref="F4:F7" si="1">++E4*10%</f>
        <v>16800</v>
      </c>
      <c r="G4" s="34">
        <f>+(E4*50%)</f>
        <v>84000</v>
      </c>
      <c r="H4" s="34">
        <f t="shared" ref="H4:H7" si="2">+E4*15%</f>
        <v>25200</v>
      </c>
      <c r="I4" s="34">
        <f t="shared" ref="I4:I7" si="3">+SUM(E4:H4)</f>
        <v>294000</v>
      </c>
      <c r="J4" s="34">
        <f>12*1080</f>
        <v>12960</v>
      </c>
      <c r="K4" s="34">
        <f>12*118</f>
        <v>1416</v>
      </c>
      <c r="L4" s="35">
        <f t="shared" ref="L4:L7" si="4">+I4-J4-K4</f>
        <v>279624</v>
      </c>
      <c r="M4" s="36"/>
      <c r="N4" s="37">
        <f t="shared" ref="N4:N7" si="5">+L4*M4</f>
        <v>0</v>
      </c>
      <c r="O4" s="38">
        <f t="shared" ref="O4:O7" si="6">+L4-N4</f>
        <v>279624</v>
      </c>
      <c r="P4" s="20"/>
      <c r="Q4" s="39">
        <f t="shared" ref="Q4:Q7" si="7">+J4</f>
        <v>12960</v>
      </c>
      <c r="R4" s="34">
        <f>12*90</f>
        <v>1080</v>
      </c>
      <c r="S4" s="34">
        <f>511*12</f>
        <v>6132</v>
      </c>
      <c r="T4" s="38">
        <f t="shared" ref="T4:T7" si="8">+I4+Q4+R4+S4</f>
        <v>314172</v>
      </c>
      <c r="U4" s="4"/>
      <c r="V4" s="40" t="s">
        <v>80</v>
      </c>
      <c r="W4" s="41">
        <v>34700.0</v>
      </c>
      <c r="X4" s="42" t="s">
        <v>81</v>
      </c>
      <c r="Y4" s="43" t="s">
        <v>80</v>
      </c>
      <c r="Z4" s="44">
        <v>0.0</v>
      </c>
      <c r="AA4" s="44">
        <v>0.0</v>
      </c>
      <c r="AB4" s="44">
        <v>0.0</v>
      </c>
      <c r="AC4" s="44">
        <v>0.0</v>
      </c>
      <c r="AD4" s="44">
        <v>0.0</v>
      </c>
      <c r="AE4" s="44">
        <v>0.0</v>
      </c>
      <c r="AF4" s="44">
        <v>0.0</v>
      </c>
      <c r="AG4" s="44">
        <v>0.0</v>
      </c>
      <c r="AH4" s="44">
        <v>0.0</v>
      </c>
      <c r="AI4" s="44">
        <v>0.0</v>
      </c>
      <c r="AJ4" s="44">
        <v>0.0</v>
      </c>
      <c r="AK4" s="45">
        <f t="shared" ref="AK4:AK7" si="9">+E4*20%</f>
        <v>33600</v>
      </c>
    </row>
    <row r="5" ht="14.25" customHeight="1">
      <c r="A5" s="4"/>
      <c r="B5" s="12">
        <v>2.0</v>
      </c>
      <c r="C5" s="13" t="s">
        <v>22</v>
      </c>
      <c r="D5" s="13" t="s">
        <v>23</v>
      </c>
      <c r="E5" s="34">
        <f>50000*12</f>
        <v>600000</v>
      </c>
      <c r="F5" s="34">
        <f t="shared" si="1"/>
        <v>60000</v>
      </c>
      <c r="G5" s="34">
        <f>+(E5*50%)+80000</f>
        <v>380000</v>
      </c>
      <c r="H5" s="34">
        <f t="shared" si="2"/>
        <v>90000</v>
      </c>
      <c r="I5" s="34">
        <f t="shared" si="3"/>
        <v>1130000</v>
      </c>
      <c r="J5" s="34">
        <f t="shared" ref="J5:J6" si="10">12*1800</f>
        <v>21600</v>
      </c>
      <c r="K5" s="34">
        <v>0.0</v>
      </c>
      <c r="L5" s="35">
        <f t="shared" si="4"/>
        <v>1108400</v>
      </c>
      <c r="M5" s="36"/>
      <c r="N5" s="37">
        <f t="shared" si="5"/>
        <v>0</v>
      </c>
      <c r="O5" s="38">
        <f t="shared" si="6"/>
        <v>1108400</v>
      </c>
      <c r="P5" s="20"/>
      <c r="Q5" s="39">
        <f t="shared" si="7"/>
        <v>21600</v>
      </c>
      <c r="R5" s="34">
        <f>12*1800</f>
        <v>21600</v>
      </c>
      <c r="S5" s="34">
        <v>0.0</v>
      </c>
      <c r="T5" s="38">
        <f t="shared" si="8"/>
        <v>1173200</v>
      </c>
      <c r="U5" s="4"/>
      <c r="V5" s="40" t="s">
        <v>82</v>
      </c>
      <c r="W5" s="41">
        <v>18529.0</v>
      </c>
      <c r="X5" s="42" t="s">
        <v>81</v>
      </c>
      <c r="Y5" s="42" t="s">
        <v>83</v>
      </c>
      <c r="Z5" s="44">
        <v>0.0</v>
      </c>
      <c r="AA5" s="44">
        <v>0.0</v>
      </c>
      <c r="AB5" s="44">
        <v>0.0</v>
      </c>
      <c r="AC5" s="44">
        <v>0.0</v>
      </c>
      <c r="AD5" s="44">
        <v>0.0</v>
      </c>
      <c r="AE5" s="44">
        <v>50000.0</v>
      </c>
      <c r="AF5" s="44">
        <v>0.0</v>
      </c>
      <c r="AG5" s="44">
        <v>0.0</v>
      </c>
      <c r="AH5" s="44">
        <v>0.0</v>
      </c>
      <c r="AI5" s="44">
        <v>0.0</v>
      </c>
      <c r="AJ5" s="44">
        <v>0.0</v>
      </c>
      <c r="AK5" s="45">
        <f t="shared" si="9"/>
        <v>120000</v>
      </c>
    </row>
    <row r="6" ht="14.25" customHeight="1">
      <c r="A6" s="4"/>
      <c r="B6" s="12">
        <v>3.0</v>
      </c>
      <c r="C6" s="13" t="s">
        <v>24</v>
      </c>
      <c r="D6" s="13" t="s">
        <v>25</v>
      </c>
      <c r="E6" s="34">
        <f>80000*12</f>
        <v>960000</v>
      </c>
      <c r="F6" s="34">
        <f t="shared" si="1"/>
        <v>96000</v>
      </c>
      <c r="G6" s="34">
        <f t="shared" ref="G6:G7" si="11">+E6*50%</f>
        <v>480000</v>
      </c>
      <c r="H6" s="34">
        <f t="shared" si="2"/>
        <v>144000</v>
      </c>
      <c r="I6" s="34">
        <f t="shared" si="3"/>
        <v>1680000</v>
      </c>
      <c r="J6" s="34">
        <f t="shared" si="10"/>
        <v>21600</v>
      </c>
      <c r="K6" s="34">
        <v>0.0</v>
      </c>
      <c r="L6" s="35">
        <f t="shared" si="4"/>
        <v>1658400</v>
      </c>
      <c r="M6" s="36"/>
      <c r="N6" s="37">
        <f t="shared" si="5"/>
        <v>0</v>
      </c>
      <c r="O6" s="38">
        <f t="shared" si="6"/>
        <v>1658400</v>
      </c>
      <c r="P6" s="20"/>
      <c r="Q6" s="39">
        <f t="shared" si="7"/>
        <v>21600</v>
      </c>
      <c r="R6" s="34">
        <v>1800.0</v>
      </c>
      <c r="S6" s="34">
        <v>0.0</v>
      </c>
      <c r="T6" s="38">
        <f t="shared" si="8"/>
        <v>1703400</v>
      </c>
      <c r="U6" s="4"/>
      <c r="V6" s="40" t="s">
        <v>84</v>
      </c>
      <c r="W6" s="41">
        <v>14411.0</v>
      </c>
      <c r="X6" s="42" t="s">
        <v>81</v>
      </c>
      <c r="Y6" s="42" t="s">
        <v>85</v>
      </c>
      <c r="Z6" s="44">
        <v>0.0</v>
      </c>
      <c r="AA6" s="44">
        <v>0.0</v>
      </c>
      <c r="AB6" s="44">
        <v>0.0</v>
      </c>
      <c r="AC6" s="44">
        <v>0.0</v>
      </c>
      <c r="AD6" s="44">
        <v>6000.0</v>
      </c>
      <c r="AE6" s="44">
        <v>150000.0</v>
      </c>
      <c r="AF6" s="44">
        <v>25000.0</v>
      </c>
      <c r="AG6" s="44">
        <v>0.0</v>
      </c>
      <c r="AH6" s="44">
        <v>0.0</v>
      </c>
      <c r="AI6" s="44">
        <v>6000.0</v>
      </c>
      <c r="AJ6" s="44">
        <v>0.0</v>
      </c>
      <c r="AK6" s="45">
        <f t="shared" si="9"/>
        <v>192000</v>
      </c>
    </row>
    <row r="7" ht="14.25" customHeight="1">
      <c r="A7" s="4"/>
      <c r="B7" s="12">
        <v>4.0</v>
      </c>
      <c r="C7" s="13" t="s">
        <v>26</v>
      </c>
      <c r="D7" s="13" t="s">
        <v>27</v>
      </c>
      <c r="E7" s="34">
        <f>10000*12</f>
        <v>120000</v>
      </c>
      <c r="F7" s="34">
        <f t="shared" si="1"/>
        <v>12000</v>
      </c>
      <c r="G7" s="34">
        <f t="shared" si="11"/>
        <v>60000</v>
      </c>
      <c r="H7" s="34">
        <f t="shared" si="2"/>
        <v>18000</v>
      </c>
      <c r="I7" s="34">
        <f t="shared" si="3"/>
        <v>210000</v>
      </c>
      <c r="J7" s="34">
        <f>12*1200</f>
        <v>14400</v>
      </c>
      <c r="K7" s="34">
        <f>12*131</f>
        <v>1572</v>
      </c>
      <c r="L7" s="35">
        <f t="shared" si="4"/>
        <v>194028</v>
      </c>
      <c r="M7" s="36"/>
      <c r="N7" s="37">
        <f t="shared" si="5"/>
        <v>0</v>
      </c>
      <c r="O7" s="38">
        <f t="shared" si="6"/>
        <v>194028</v>
      </c>
      <c r="P7" s="20"/>
      <c r="Q7" s="39">
        <f t="shared" si="7"/>
        <v>14400</v>
      </c>
      <c r="R7" s="34">
        <f>12*100</f>
        <v>1200</v>
      </c>
      <c r="S7" s="34">
        <f>12*568</f>
        <v>6816</v>
      </c>
      <c r="T7" s="38">
        <f t="shared" si="8"/>
        <v>232416</v>
      </c>
      <c r="U7" s="4"/>
      <c r="V7" s="40" t="s">
        <v>86</v>
      </c>
      <c r="W7" s="41">
        <v>34035.0</v>
      </c>
      <c r="X7" s="42" t="s">
        <v>81</v>
      </c>
      <c r="Y7" s="43" t="s">
        <v>80</v>
      </c>
      <c r="Z7" s="44">
        <v>50000.0</v>
      </c>
      <c r="AA7" s="44">
        <v>4000.0</v>
      </c>
      <c r="AB7" s="44">
        <v>0.0</v>
      </c>
      <c r="AC7" s="44">
        <v>8000.0</v>
      </c>
      <c r="AD7" s="44">
        <v>0.0</v>
      </c>
      <c r="AE7" s="44">
        <v>0.0</v>
      </c>
      <c r="AF7" s="44">
        <v>25000.0</v>
      </c>
      <c r="AG7" s="44">
        <v>0.0</v>
      </c>
      <c r="AH7" s="44">
        <v>0.0</v>
      </c>
      <c r="AI7" s="44">
        <v>0.0</v>
      </c>
      <c r="AJ7" s="44">
        <v>0.0</v>
      </c>
      <c r="AK7" s="45">
        <f t="shared" si="9"/>
        <v>24000</v>
      </c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2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3">
    <mergeCell ref="B2:O2"/>
    <mergeCell ref="Q2:T2"/>
    <mergeCell ref="V2:AK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2020-04-10T06:51:36Z</dcterms:created>
  <dc:creator>Awasthi</dc:creator>
</cp:coreProperties>
</file>