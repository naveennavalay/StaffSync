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elopment\StaffSync\Testing Tasks\"/>
    </mc:Choice>
  </mc:AlternateContent>
  <xr:revisionPtr revIDLastSave="0" documentId="13_ncr:1_{43412659-2CB0-411F-A98A-4B75A6F66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Master Task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E54" i="1"/>
  <c r="E53" i="1"/>
  <c r="H25" i="2" s="1"/>
  <c r="E52" i="1"/>
  <c r="E51" i="1"/>
  <c r="E50" i="1"/>
  <c r="E49" i="1"/>
  <c r="E48" i="1"/>
  <c r="E47" i="1"/>
  <c r="E46" i="1"/>
  <c r="E45" i="1"/>
  <c r="F23" i="2" s="1"/>
  <c r="E44" i="1"/>
  <c r="E43" i="1"/>
  <c r="E42" i="1"/>
  <c r="E41" i="1"/>
  <c r="G22" i="2" s="1"/>
  <c r="E40" i="1"/>
  <c r="E39" i="1"/>
  <c r="E38" i="1"/>
  <c r="E37" i="1"/>
  <c r="E36" i="1"/>
  <c r="E35" i="1"/>
  <c r="H20" i="2" s="1"/>
  <c r="E34" i="1"/>
  <c r="H19" i="2" s="1"/>
  <c r="E33" i="1"/>
  <c r="F18" i="2" s="1"/>
  <c r="E32" i="1"/>
  <c r="E31" i="1"/>
  <c r="E30" i="1"/>
  <c r="E29" i="1"/>
  <c r="H17" i="2" s="1"/>
  <c r="E28" i="1"/>
  <c r="E27" i="1"/>
  <c r="E26" i="1"/>
  <c r="E25" i="1"/>
  <c r="E24" i="1"/>
  <c r="E23" i="1"/>
  <c r="E22" i="1"/>
  <c r="E21" i="1"/>
  <c r="H15" i="2" s="1"/>
  <c r="E20" i="1"/>
  <c r="E19" i="1"/>
  <c r="E18" i="1"/>
  <c r="E17" i="1"/>
  <c r="E16" i="1"/>
  <c r="E15" i="1"/>
  <c r="E14" i="1"/>
  <c r="E13" i="1"/>
  <c r="E12" i="1"/>
  <c r="E11" i="1"/>
  <c r="E10" i="1"/>
  <c r="E9" i="1"/>
  <c r="G13" i="2" s="1"/>
  <c r="E8" i="1"/>
  <c r="E7" i="1"/>
  <c r="E6" i="1"/>
  <c r="E5" i="1"/>
  <c r="G12" i="2" s="1"/>
  <c r="E4" i="1"/>
  <c r="E3" i="1"/>
  <c r="E2" i="1"/>
  <c r="E25" i="2"/>
  <c r="H24" i="2"/>
  <c r="G24" i="2"/>
  <c r="F24" i="2"/>
  <c r="E24" i="2"/>
  <c r="E23" i="2"/>
  <c r="E22" i="2"/>
  <c r="H21" i="2"/>
  <c r="G21" i="2"/>
  <c r="F21" i="2"/>
  <c r="E21" i="2"/>
  <c r="G20" i="2"/>
  <c r="F20" i="2"/>
  <c r="E20" i="2"/>
  <c r="E19" i="2"/>
  <c r="E18" i="2"/>
  <c r="F17" i="2"/>
  <c r="E17" i="2"/>
  <c r="H16" i="2"/>
  <c r="G16" i="2"/>
  <c r="F16" i="2"/>
  <c r="E16" i="2"/>
  <c r="E15" i="2"/>
  <c r="H14" i="2"/>
  <c r="G14" i="2"/>
  <c r="F14" i="2"/>
  <c r="E14" i="2"/>
  <c r="E13" i="2"/>
  <c r="H12" i="2"/>
  <c r="E12" i="2"/>
  <c r="H11" i="2"/>
  <c r="G11" i="2"/>
  <c r="E11" i="2"/>
  <c r="G17" i="2" l="1"/>
  <c r="I17" i="2" s="1"/>
  <c r="H22" i="2"/>
  <c r="F12" i="2"/>
  <c r="I12" i="2" s="1"/>
  <c r="F11" i="2"/>
  <c r="I11" i="2" s="1"/>
  <c r="I14" i="2"/>
  <c r="F25" i="2"/>
  <c r="G25" i="2"/>
  <c r="F22" i="2"/>
  <c r="I22" i="2" s="1"/>
  <c r="G15" i="2"/>
  <c r="H18" i="2"/>
  <c r="H23" i="2"/>
  <c r="B4" i="2"/>
  <c r="I21" i="2"/>
  <c r="I20" i="2"/>
  <c r="I16" i="2"/>
  <c r="I24" i="2"/>
  <c r="B5" i="2"/>
  <c r="F15" i="2"/>
  <c r="F13" i="2"/>
  <c r="H13" i="2"/>
  <c r="G18" i="2"/>
  <c r="G23" i="2"/>
  <c r="F19" i="2"/>
  <c r="G19" i="2"/>
  <c r="I18" i="2" l="1"/>
  <c r="I23" i="2"/>
  <c r="I25" i="2"/>
  <c r="B7" i="2"/>
  <c r="I15" i="2"/>
  <c r="I13" i="2"/>
  <c r="I19" i="2"/>
</calcChain>
</file>

<file path=xl/sharedStrings.xml><?xml version="1.0" encoding="utf-8"?>
<sst xmlns="http://schemas.openxmlformats.org/spreadsheetml/2006/main" count="264" uniqueCount="191">
  <si>
    <t>Result Summary (Update counts manually or with formulas later)</t>
  </si>
  <si>
    <t>Status</t>
  </si>
  <si>
    <t>Count</t>
  </si>
  <si>
    <t>Pass</t>
  </si>
  <si>
    <t>Fail</t>
  </si>
  <si>
    <t>Not Executed</t>
  </si>
  <si>
    <t>Module Group</t>
  </si>
  <si>
    <t>Task Count</t>
  </si>
  <si>
    <t>Total</t>
  </si>
  <si>
    <t>Pending</t>
  </si>
  <si>
    <t>Screen</t>
  </si>
  <si>
    <t>Employee Creation</t>
  </si>
  <si>
    <t>Personal Info</t>
  </si>
  <si>
    <t>Photo</t>
  </si>
  <si>
    <t>Professional Info</t>
  </si>
  <si>
    <t>Experience</t>
  </si>
  <si>
    <t>Skills</t>
  </si>
  <si>
    <t>Family</t>
  </si>
  <si>
    <t>Education</t>
  </si>
  <si>
    <t>Documents</t>
  </si>
  <si>
    <t>Leaves</t>
  </si>
  <si>
    <t>Bank</t>
  </si>
  <si>
    <t>Statutory</t>
  </si>
  <si>
    <t>Salary</t>
  </si>
  <si>
    <t>Integration</t>
  </si>
  <si>
    <t>Task ID</t>
  </si>
  <si>
    <t>Task Description</t>
  </si>
  <si>
    <t>Expected Result</t>
  </si>
  <si>
    <t>Observed Result</t>
  </si>
  <si>
    <t>Result Status (Pass/Fail)</t>
  </si>
  <si>
    <t>Task Result Description</t>
  </si>
  <si>
    <t>EMD-001</t>
  </si>
  <si>
    <t>Screen opens correctly</t>
  </si>
  <si>
    <t>Screen loads without errors</t>
  </si>
  <si>
    <t>EMD-002</t>
  </si>
  <si>
    <t>Verify action buttons</t>
  </si>
  <si>
    <t>All buttons displayed correctly</t>
  </si>
  <si>
    <t>EMD-003</t>
  </si>
  <si>
    <t>Verify tab navigation</t>
  </si>
  <si>
    <t>All tabs accessible</t>
  </si>
  <si>
    <t>EMD-004</t>
  </si>
  <si>
    <t>Employee code generation</t>
  </si>
  <si>
    <t>Unique employee code generated</t>
  </si>
  <si>
    <t>EMD-005</t>
  </si>
  <si>
    <t>EMD-006</t>
  </si>
  <si>
    <t>Name validation</t>
  </si>
  <si>
    <t>Validations work correctly</t>
  </si>
  <si>
    <t>EMD-007</t>
  </si>
  <si>
    <t>DOB validation</t>
  </si>
  <si>
    <t>DOB rules enforced</t>
  </si>
  <si>
    <t>EMD-008</t>
  </si>
  <si>
    <t>Gender selection</t>
  </si>
  <si>
    <t>Gender saved correctly</t>
  </si>
  <si>
    <t>EMD-009</t>
  </si>
  <si>
    <t>Blood group validation</t>
  </si>
  <si>
    <t>Blood group saved correctly</t>
  </si>
  <si>
    <t>EMD-010</t>
  </si>
  <si>
    <t>Address validation</t>
  </si>
  <si>
    <t>Address saved correctly</t>
  </si>
  <si>
    <t>EMD-011</t>
  </si>
  <si>
    <t>State/Country validation</t>
  </si>
  <si>
    <t>Selection saved correctly</t>
  </si>
  <si>
    <t>EMD-012</t>
  </si>
  <si>
    <t>PIN validation</t>
  </si>
  <si>
    <t>PIN rules enforced</t>
  </si>
  <si>
    <t>EMD-013</t>
  </si>
  <si>
    <t>Contact validation</t>
  </si>
  <si>
    <t>Contact rules enforced</t>
  </si>
  <si>
    <t>EMD-014</t>
  </si>
  <si>
    <t>Email validation</t>
  </si>
  <si>
    <t>Email rules enforced</t>
  </si>
  <si>
    <t>EMD-015</t>
  </si>
  <si>
    <t>Same as current address</t>
  </si>
  <si>
    <t>Address copied correctly</t>
  </si>
  <si>
    <t>EMD-016</t>
  </si>
  <si>
    <t>Photo upload</t>
  </si>
  <si>
    <t>Photo uploaded successfully</t>
  </si>
  <si>
    <t>EMD-017</t>
  </si>
  <si>
    <t>Photo validation</t>
  </si>
  <si>
    <t>Invalid files rejected</t>
  </si>
  <si>
    <t>EMD-018</t>
  </si>
  <si>
    <t>Photo preview</t>
  </si>
  <si>
    <t>Preview displayed correctly</t>
  </si>
  <si>
    <t>EMD-019</t>
  </si>
  <si>
    <t>Department selection</t>
  </si>
  <si>
    <t>Department saved correctly</t>
  </si>
  <si>
    <t>EMD-020</t>
  </si>
  <si>
    <t>Designation selection</t>
  </si>
  <si>
    <t>Designation saved correctly</t>
  </si>
  <si>
    <t>EMD-021</t>
  </si>
  <si>
    <t>Branch selection</t>
  </si>
  <si>
    <t>Branch saved correctly</t>
  </si>
  <si>
    <t>EMD-022</t>
  </si>
  <si>
    <t>Employment type</t>
  </si>
  <si>
    <t>Employment type saved</t>
  </si>
  <si>
    <t>EMD-023</t>
  </si>
  <si>
    <t>Shift selection</t>
  </si>
  <si>
    <t>Shift saved correctly</t>
  </si>
  <si>
    <t>EMD-024</t>
  </si>
  <si>
    <t>Reporting manager</t>
  </si>
  <si>
    <t>Manager assigned correctly</t>
  </si>
  <si>
    <t>EMD-025</t>
  </si>
  <si>
    <t>Add previous experience</t>
  </si>
  <si>
    <t>Experience saved correctly</t>
  </si>
  <si>
    <t>EMD-026</t>
  </si>
  <si>
    <t>Experience date validation</t>
  </si>
  <si>
    <t>Date validation works</t>
  </si>
  <si>
    <t>EMD-027</t>
  </si>
  <si>
    <t>Multiple experience records</t>
  </si>
  <si>
    <t>Multiple records supported</t>
  </si>
  <si>
    <t>EMD-028</t>
  </si>
  <si>
    <t>Skill selection</t>
  </si>
  <si>
    <t>Skills saved correctly</t>
  </si>
  <si>
    <t>EMD-029</t>
  </si>
  <si>
    <t>Skill reload validation</t>
  </si>
  <si>
    <t>Skills retained after reload</t>
  </si>
  <si>
    <t>EMD-030</t>
  </si>
  <si>
    <t>Add family member</t>
  </si>
  <si>
    <t>Family member saved</t>
  </si>
  <si>
    <t>EMD-031</t>
  </si>
  <si>
    <t>Relationship validation</t>
  </si>
  <si>
    <t>Relationship saved</t>
  </si>
  <si>
    <t>EMD-032</t>
  </si>
  <si>
    <t>Age calculation</t>
  </si>
  <si>
    <t>Age calculated correctly</t>
  </si>
  <si>
    <t>EMD-033</t>
  </si>
  <si>
    <t>Educational qualification</t>
  </si>
  <si>
    <t>Qualification saved</t>
  </si>
  <si>
    <t>EMD-034</t>
  </si>
  <si>
    <t>Document upload</t>
  </si>
  <si>
    <t>Document uploaded</t>
  </si>
  <si>
    <t>EMD-035</t>
  </si>
  <si>
    <t>Document download</t>
  </si>
  <si>
    <t>Document downloaded</t>
  </si>
  <si>
    <t>EMD-036</t>
  </si>
  <si>
    <t>Document delete</t>
  </si>
  <si>
    <t>Document deleted</t>
  </si>
  <si>
    <t>EMD-037</t>
  </si>
  <si>
    <t>Leave balance validation</t>
  </si>
  <si>
    <t>Leave calculations correct</t>
  </si>
  <si>
    <t>EMD-038</t>
  </si>
  <si>
    <t>Weekly off assignment</t>
  </si>
  <si>
    <t>Weekly off saved</t>
  </si>
  <si>
    <t>EMD-039</t>
  </si>
  <si>
    <t>Bank account validation</t>
  </si>
  <si>
    <t>Bank account validated</t>
  </si>
  <si>
    <t>EMD-040</t>
  </si>
  <si>
    <t>IFSC validation</t>
  </si>
  <si>
    <t>IFSC validated</t>
  </si>
  <si>
    <t>EMD-041</t>
  </si>
  <si>
    <t>Bank selection</t>
  </si>
  <si>
    <t>Bank saved</t>
  </si>
  <si>
    <t>EMD-042</t>
  </si>
  <si>
    <t>Aadhaar validation</t>
  </si>
  <si>
    <t>Aadhaar validated</t>
  </si>
  <si>
    <t>EMD-043</t>
  </si>
  <si>
    <t>PAN validation</t>
  </si>
  <si>
    <t>PAN validated</t>
  </si>
  <si>
    <t>EMD-044</t>
  </si>
  <si>
    <t>Passport validation</t>
  </si>
  <si>
    <t>Passport details validated</t>
  </si>
  <si>
    <t>EMD-045</t>
  </si>
  <si>
    <t>PF validation</t>
  </si>
  <si>
    <t>PF details validated</t>
  </si>
  <si>
    <t>EMD-046</t>
  </si>
  <si>
    <t>ESI validation</t>
  </si>
  <si>
    <t>ESI details validated</t>
  </si>
  <si>
    <t>EMD-047</t>
  </si>
  <si>
    <t>NPS validation</t>
  </si>
  <si>
    <t>NPS details validated</t>
  </si>
  <si>
    <t>EMD-048</t>
  </si>
  <si>
    <t>Salary profile selection</t>
  </si>
  <si>
    <t>Salary profile loaded</t>
  </si>
  <si>
    <t>EMD-049</t>
  </si>
  <si>
    <t>Payroll calculation</t>
  </si>
  <si>
    <t>Salary calculations correct</t>
  </si>
  <si>
    <t>EMD-050</t>
  </si>
  <si>
    <t>Tax scheme validation</t>
  </si>
  <si>
    <t>Tax scheme applied</t>
  </si>
  <si>
    <t>EMD-051</t>
  </si>
  <si>
    <t>Complete employee creation</t>
  </si>
  <si>
    <t>All data saved correctly</t>
  </si>
  <si>
    <t>EMD-052</t>
  </si>
  <si>
    <t>Complete employee modification</t>
  </si>
  <si>
    <t>Changes saved correctly</t>
  </si>
  <si>
    <t>EMD-053</t>
  </si>
  <si>
    <t>Employee deletion</t>
  </si>
  <si>
    <t>Employee deleted correctly</t>
  </si>
  <si>
    <t>Audit log validation</t>
  </si>
  <si>
    <t>Audit log updated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</si>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</sst>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Test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Dashboard!$A$4:$A$6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Not Applicable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6-4D25-AD65-73F7F5C4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Tasks by Module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Task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Dashboard!$A$11:$A$25</c:f>
              <c:strCache>
                <c:ptCount val="15"/>
                <c:pt idx="0">
                  <c:v>Screen</c:v>
                </c:pt>
                <c:pt idx="1">
                  <c:v>Employee Creation</c:v>
                </c:pt>
                <c:pt idx="2">
                  <c:v>Personal Info</c:v>
                </c:pt>
                <c:pt idx="3">
                  <c:v>Photo</c:v>
                </c:pt>
                <c:pt idx="4">
                  <c:v>Professional Info</c:v>
                </c:pt>
                <c:pt idx="5">
                  <c:v>Experience</c:v>
                </c:pt>
                <c:pt idx="6">
                  <c:v>Skills</c:v>
                </c:pt>
                <c:pt idx="7">
                  <c:v>Family</c:v>
                </c:pt>
                <c:pt idx="8">
                  <c:v>Education</c:v>
                </c:pt>
                <c:pt idx="9">
                  <c:v>Documents</c:v>
                </c:pt>
                <c:pt idx="10">
                  <c:v>Leaves</c:v>
                </c:pt>
                <c:pt idx="11">
                  <c:v>Bank</c:v>
                </c:pt>
                <c:pt idx="12">
                  <c:v>Statutory</c:v>
                </c:pt>
                <c:pt idx="13">
                  <c:v>Salary</c:v>
                </c:pt>
                <c:pt idx="14">
                  <c:v>Integration</c:v>
                </c:pt>
              </c:strCache>
            </c:strRef>
          </c:cat>
          <c:val>
            <c:numRef>
              <c:f>Dashboard!$B$11:$B$25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7-4286-9C0B-4114468AD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Test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Dashboard!$A$4:$A$7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Not Applicable</c:v>
                </c:pt>
                <c:pt idx="3">
                  <c:v>Not Executed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D-4387-A7A2-31E90E8AD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Module Wise Progress (Pass)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Dashboard!$F$10</c:f>
              <c:strCache>
                <c:ptCount val="1"/>
                <c:pt idx="0">
                  <c:v>Pass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Dashboard!$D$11:$D$25</c:f>
              <c:strCache>
                <c:ptCount val="15"/>
                <c:pt idx="0">
                  <c:v>Screen</c:v>
                </c:pt>
                <c:pt idx="1">
                  <c:v>Employee Creation</c:v>
                </c:pt>
                <c:pt idx="2">
                  <c:v>Personal Info</c:v>
                </c:pt>
                <c:pt idx="3">
                  <c:v>Photo</c:v>
                </c:pt>
                <c:pt idx="4">
                  <c:v>Professional Info</c:v>
                </c:pt>
                <c:pt idx="5">
                  <c:v>Experience</c:v>
                </c:pt>
                <c:pt idx="6">
                  <c:v>Skills</c:v>
                </c:pt>
                <c:pt idx="7">
                  <c:v>Family</c:v>
                </c:pt>
                <c:pt idx="8">
                  <c:v>Education</c:v>
                </c:pt>
                <c:pt idx="9">
                  <c:v>Documents</c:v>
                </c:pt>
                <c:pt idx="10">
                  <c:v>Leaves</c:v>
                </c:pt>
                <c:pt idx="11">
                  <c:v>Bank</c:v>
                </c:pt>
                <c:pt idx="12">
                  <c:v>Statutory</c:v>
                </c:pt>
                <c:pt idx="13">
                  <c:v>Salary</c:v>
                </c:pt>
                <c:pt idx="14">
                  <c:v>Integration</c:v>
                </c:pt>
              </c:strCache>
            </c:strRef>
          </c:cat>
          <c:val>
            <c:numRef>
              <c:f>Dashboard!$F$11:$F$25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F-4DDC-8080-6DE18ECB9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609599</xdr:colOff>
      <xdr:row>1</xdr:row>
      <xdr:rowOff>19050</xdr:rowOff>
    </xdr:from>
    <xdr:ext cx="3905251" cy="2524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15</xdr:row>
      <xdr:rowOff>38101</xdr:rowOff>
    </xdr:from>
    <xdr:ext cx="3886200" cy="25717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238126</xdr:colOff>
      <xdr:row>1</xdr:row>
      <xdr:rowOff>9524</xdr:rowOff>
    </xdr:from>
    <xdr:ext cx="3810000" cy="26193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247650</xdr:colOff>
      <xdr:row>15</xdr:row>
      <xdr:rowOff>28575</xdr:rowOff>
    </xdr:from>
    <xdr:ext cx="3819525" cy="25431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MasterTasks" displayName="EmployeeMasterTasks" ref="A1:G55">
  <autoFilter ref="A1:G55" xr:uid="{00000000-0009-0000-0100-000001000000}"/>
  <tableColumns count="7">
    <tableColumn id="1" xr3:uid="{00000000-0010-0000-0000-000001000000}" name="Task ID"/>
    <tableColumn id="2" xr3:uid="{00000000-0010-0000-0000-000002000000}" name="Task Description"/>
    <tableColumn id="3" xr3:uid="{00000000-0010-0000-0000-000003000000}" name="Expected Result"/>
    <tableColumn id="4" xr3:uid="{00000000-0010-0000-0000-000004000000}" name="Observed Result"/>
    <tableColumn id="5" xr3:uid="{00000000-0010-0000-0000-000005000000}" name="Result Status (Pass/Fail)"/>
    <tableColumn id="6" xr3:uid="{00000000-0010-0000-0000-000006000000}" name="Task Result Description"/>
    <tableColumn id="7" xr3:uid="{00000000-0010-0000-0000-000007000000}" name="Modul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4" sqref="B4"/>
    </sheetView>
  </sheetViews>
  <sheetFormatPr defaultRowHeight="15" x14ac:dyDescent="0.25"/>
  <cols>
    <col min="1" max="1" width="30" customWidth="1"/>
    <col min="2" max="2" width="31.5703125" bestFit="1" customWidth="1"/>
    <col min="3" max="3" width="31.85546875" bestFit="1" customWidth="1"/>
    <col min="4" max="7" width="30" customWidth="1"/>
  </cols>
  <sheetData>
    <row r="1" spans="1:7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6</v>
      </c>
    </row>
    <row r="2" spans="1:7" x14ac:dyDescent="0.25">
      <c r="A2" t="s">
        <v>31</v>
      </c>
      <c r="B2" t="s">
        <v>32</v>
      </c>
      <c r="C2" t="s">
        <v>33</v>
      </c>
      <c r="E2" t="str">
        <f t="shared" ref="E2:E33" si="0">IF(D2="Yes","Pass",IF(D2="No","Fail",IF(D2="Not Applicable","Pass",IF(D2="Blocked","Blocked",IF(D2="Pending","Not Executed","")))))</f>
        <v/>
      </c>
      <c r="G2" t="s">
        <v>10</v>
      </c>
    </row>
    <row r="3" spans="1:7" x14ac:dyDescent="0.25">
      <c r="A3" t="s">
        <v>34</v>
      </c>
      <c r="B3" t="s">
        <v>35</v>
      </c>
      <c r="C3" t="s">
        <v>36</v>
      </c>
      <c r="E3" t="str">
        <f t="shared" si="0"/>
        <v/>
      </c>
      <c r="G3" t="s">
        <v>10</v>
      </c>
    </row>
    <row r="4" spans="1:7" x14ac:dyDescent="0.25">
      <c r="A4" t="s">
        <v>37</v>
      </c>
      <c r="B4" t="s">
        <v>38</v>
      </c>
      <c r="C4" t="s">
        <v>39</v>
      </c>
      <c r="E4" t="str">
        <f t="shared" si="0"/>
        <v/>
      </c>
      <c r="G4" t="s">
        <v>10</v>
      </c>
    </row>
    <row r="5" spans="1:7" x14ac:dyDescent="0.25">
      <c r="A5" t="s">
        <v>40</v>
      </c>
      <c r="B5" t="s">
        <v>41</v>
      </c>
      <c r="C5" t="s">
        <v>42</v>
      </c>
      <c r="E5" t="str">
        <f t="shared" si="0"/>
        <v/>
      </c>
      <c r="G5" t="s">
        <v>11</v>
      </c>
    </row>
    <row r="6" spans="1:7" x14ac:dyDescent="0.25">
      <c r="A6" t="s">
        <v>43</v>
      </c>
      <c r="B6" t="s">
        <v>45</v>
      </c>
      <c r="C6" t="s">
        <v>46</v>
      </c>
      <c r="E6" t="str">
        <f t="shared" si="0"/>
        <v/>
      </c>
      <c r="G6" t="s">
        <v>11</v>
      </c>
    </row>
    <row r="7" spans="1:7" x14ac:dyDescent="0.25">
      <c r="A7" t="s">
        <v>44</v>
      </c>
      <c r="B7" t="s">
        <v>48</v>
      </c>
      <c r="C7" t="s">
        <v>49</v>
      </c>
      <c r="E7" t="str">
        <f t="shared" si="0"/>
        <v/>
      </c>
      <c r="G7" t="s">
        <v>12</v>
      </c>
    </row>
    <row r="8" spans="1:7" x14ac:dyDescent="0.25">
      <c r="A8" t="s">
        <v>47</v>
      </c>
      <c r="B8" t="s">
        <v>51</v>
      </c>
      <c r="C8" t="s">
        <v>52</v>
      </c>
      <c r="E8" t="str">
        <f t="shared" si="0"/>
        <v/>
      </c>
      <c r="G8" t="s">
        <v>12</v>
      </c>
    </row>
    <row r="9" spans="1:7" x14ac:dyDescent="0.25">
      <c r="A9" t="s">
        <v>50</v>
      </c>
      <c r="B9" t="s">
        <v>54</v>
      </c>
      <c r="C9" t="s">
        <v>55</v>
      </c>
      <c r="E9" t="str">
        <f t="shared" si="0"/>
        <v/>
      </c>
      <c r="G9" t="s">
        <v>12</v>
      </c>
    </row>
    <row r="10" spans="1:7" x14ac:dyDescent="0.25">
      <c r="A10" t="s">
        <v>53</v>
      </c>
      <c r="B10" t="s">
        <v>57</v>
      </c>
      <c r="C10" t="s">
        <v>58</v>
      </c>
      <c r="E10" t="str">
        <f t="shared" si="0"/>
        <v/>
      </c>
      <c r="G10" t="s">
        <v>12</v>
      </c>
    </row>
    <row r="11" spans="1:7" x14ac:dyDescent="0.25">
      <c r="A11" t="s">
        <v>56</v>
      </c>
      <c r="B11" t="s">
        <v>60</v>
      </c>
      <c r="C11" t="s">
        <v>61</v>
      </c>
      <c r="E11" t="str">
        <f t="shared" si="0"/>
        <v/>
      </c>
      <c r="G11" t="s">
        <v>12</v>
      </c>
    </row>
    <row r="12" spans="1:7" x14ac:dyDescent="0.25">
      <c r="A12" t="s">
        <v>59</v>
      </c>
      <c r="B12" t="s">
        <v>63</v>
      </c>
      <c r="C12" t="s">
        <v>64</v>
      </c>
      <c r="E12" t="str">
        <f t="shared" si="0"/>
        <v/>
      </c>
      <c r="G12" t="s">
        <v>12</v>
      </c>
    </row>
    <row r="13" spans="1:7" x14ac:dyDescent="0.25">
      <c r="A13" t="s">
        <v>62</v>
      </c>
      <c r="B13" t="s">
        <v>66</v>
      </c>
      <c r="C13" t="s">
        <v>67</v>
      </c>
      <c r="E13" t="str">
        <f t="shared" si="0"/>
        <v/>
      </c>
      <c r="G13" t="s">
        <v>12</v>
      </c>
    </row>
    <row r="14" spans="1:7" x14ac:dyDescent="0.25">
      <c r="A14" t="s">
        <v>65</v>
      </c>
      <c r="B14" t="s">
        <v>69</v>
      </c>
      <c r="C14" t="s">
        <v>70</v>
      </c>
      <c r="E14" t="str">
        <f t="shared" si="0"/>
        <v/>
      </c>
      <c r="G14" t="s">
        <v>12</v>
      </c>
    </row>
    <row r="15" spans="1:7" x14ac:dyDescent="0.25">
      <c r="A15" t="s">
        <v>68</v>
      </c>
      <c r="B15" t="s">
        <v>72</v>
      </c>
      <c r="C15" t="s">
        <v>73</v>
      </c>
      <c r="E15" t="str">
        <f t="shared" si="0"/>
        <v/>
      </c>
      <c r="G15" t="s">
        <v>12</v>
      </c>
    </row>
    <row r="16" spans="1:7" x14ac:dyDescent="0.25">
      <c r="A16" t="s">
        <v>71</v>
      </c>
      <c r="B16" t="s">
        <v>75</v>
      </c>
      <c r="C16" t="s">
        <v>76</v>
      </c>
      <c r="E16" t="str">
        <f t="shared" si="0"/>
        <v/>
      </c>
      <c r="G16" t="s">
        <v>12</v>
      </c>
    </row>
    <row r="17" spans="1:7" x14ac:dyDescent="0.25">
      <c r="A17" t="s">
        <v>74</v>
      </c>
      <c r="B17" t="s">
        <v>78</v>
      </c>
      <c r="C17" t="s">
        <v>79</v>
      </c>
      <c r="E17" t="str">
        <f t="shared" si="0"/>
        <v/>
      </c>
      <c r="G17" t="s">
        <v>13</v>
      </c>
    </row>
    <row r="18" spans="1:7" x14ac:dyDescent="0.25">
      <c r="A18" t="s">
        <v>77</v>
      </c>
      <c r="B18" t="s">
        <v>81</v>
      </c>
      <c r="C18" t="s">
        <v>82</v>
      </c>
      <c r="E18" t="str">
        <f t="shared" si="0"/>
        <v/>
      </c>
      <c r="G18" t="s">
        <v>13</v>
      </c>
    </row>
    <row r="19" spans="1:7" x14ac:dyDescent="0.25">
      <c r="A19" t="s">
        <v>80</v>
      </c>
      <c r="B19" t="s">
        <v>84</v>
      </c>
      <c r="C19" t="s">
        <v>85</v>
      </c>
      <c r="E19" t="str">
        <f t="shared" si="0"/>
        <v/>
      </c>
      <c r="G19" t="s">
        <v>13</v>
      </c>
    </row>
    <row r="20" spans="1:7" x14ac:dyDescent="0.25">
      <c r="A20" t="s">
        <v>83</v>
      </c>
      <c r="B20" t="s">
        <v>87</v>
      </c>
      <c r="C20" t="s">
        <v>88</v>
      </c>
      <c r="E20" t="str">
        <f t="shared" si="0"/>
        <v/>
      </c>
      <c r="G20" t="s">
        <v>14</v>
      </c>
    </row>
    <row r="21" spans="1:7" x14ac:dyDescent="0.25">
      <c r="A21" t="s">
        <v>86</v>
      </c>
      <c r="B21" t="s">
        <v>90</v>
      </c>
      <c r="C21" t="s">
        <v>91</v>
      </c>
      <c r="E21" t="str">
        <f t="shared" si="0"/>
        <v/>
      </c>
      <c r="G21" t="s">
        <v>14</v>
      </c>
    </row>
    <row r="22" spans="1:7" x14ac:dyDescent="0.25">
      <c r="A22" t="s">
        <v>89</v>
      </c>
      <c r="B22" t="s">
        <v>93</v>
      </c>
      <c r="C22" t="s">
        <v>94</v>
      </c>
      <c r="E22" t="str">
        <f t="shared" si="0"/>
        <v/>
      </c>
      <c r="G22" t="s">
        <v>14</v>
      </c>
    </row>
    <row r="23" spans="1:7" x14ac:dyDescent="0.25">
      <c r="A23" t="s">
        <v>92</v>
      </c>
      <c r="B23" t="s">
        <v>96</v>
      </c>
      <c r="C23" t="s">
        <v>97</v>
      </c>
      <c r="E23" t="str">
        <f t="shared" si="0"/>
        <v/>
      </c>
      <c r="G23" t="s">
        <v>14</v>
      </c>
    </row>
    <row r="24" spans="1:7" x14ac:dyDescent="0.25">
      <c r="A24" t="s">
        <v>95</v>
      </c>
      <c r="B24" t="s">
        <v>99</v>
      </c>
      <c r="C24" t="s">
        <v>100</v>
      </c>
      <c r="E24" t="str">
        <f t="shared" si="0"/>
        <v/>
      </c>
      <c r="G24" t="s">
        <v>14</v>
      </c>
    </row>
    <row r="25" spans="1:7" x14ac:dyDescent="0.25">
      <c r="A25" t="s">
        <v>98</v>
      </c>
      <c r="B25" t="s">
        <v>102</v>
      </c>
      <c r="C25" t="s">
        <v>103</v>
      </c>
      <c r="E25" t="str">
        <f t="shared" si="0"/>
        <v/>
      </c>
      <c r="G25" t="s">
        <v>14</v>
      </c>
    </row>
    <row r="26" spans="1:7" x14ac:dyDescent="0.25">
      <c r="A26" t="s">
        <v>101</v>
      </c>
      <c r="B26" t="s">
        <v>105</v>
      </c>
      <c r="C26" t="s">
        <v>106</v>
      </c>
      <c r="E26" t="str">
        <f t="shared" si="0"/>
        <v/>
      </c>
      <c r="G26" t="s">
        <v>15</v>
      </c>
    </row>
    <row r="27" spans="1:7" x14ac:dyDescent="0.25">
      <c r="A27" t="s">
        <v>104</v>
      </c>
      <c r="B27" t="s">
        <v>108</v>
      </c>
      <c r="C27" t="s">
        <v>109</v>
      </c>
      <c r="E27" t="str">
        <f t="shared" si="0"/>
        <v/>
      </c>
      <c r="G27" t="s">
        <v>15</v>
      </c>
    </row>
    <row r="28" spans="1:7" x14ac:dyDescent="0.25">
      <c r="A28" t="s">
        <v>107</v>
      </c>
      <c r="B28" t="s">
        <v>111</v>
      </c>
      <c r="C28" t="s">
        <v>112</v>
      </c>
      <c r="E28" t="str">
        <f t="shared" si="0"/>
        <v/>
      </c>
      <c r="G28" t="s">
        <v>15</v>
      </c>
    </row>
    <row r="29" spans="1:7" x14ac:dyDescent="0.25">
      <c r="A29" t="s">
        <v>110</v>
      </c>
      <c r="B29" t="s">
        <v>114</v>
      </c>
      <c r="C29" t="s">
        <v>115</v>
      </c>
      <c r="E29" t="str">
        <f t="shared" si="0"/>
        <v/>
      </c>
      <c r="G29" t="s">
        <v>16</v>
      </c>
    </row>
    <row r="30" spans="1:7" x14ac:dyDescent="0.25">
      <c r="A30" t="s">
        <v>113</v>
      </c>
      <c r="B30" t="s">
        <v>117</v>
      </c>
      <c r="C30" t="s">
        <v>118</v>
      </c>
      <c r="E30" t="str">
        <f t="shared" si="0"/>
        <v/>
      </c>
      <c r="G30" t="s">
        <v>16</v>
      </c>
    </row>
    <row r="31" spans="1:7" x14ac:dyDescent="0.25">
      <c r="A31" t="s">
        <v>116</v>
      </c>
      <c r="B31" t="s">
        <v>120</v>
      </c>
      <c r="C31" t="s">
        <v>121</v>
      </c>
      <c r="E31" t="str">
        <f t="shared" si="0"/>
        <v/>
      </c>
      <c r="G31" t="s">
        <v>17</v>
      </c>
    </row>
    <row r="32" spans="1:7" x14ac:dyDescent="0.25">
      <c r="A32" t="s">
        <v>119</v>
      </c>
      <c r="B32" t="s">
        <v>123</v>
      </c>
      <c r="C32" t="s">
        <v>124</v>
      </c>
      <c r="E32" t="str">
        <f t="shared" si="0"/>
        <v/>
      </c>
      <c r="G32" t="s">
        <v>17</v>
      </c>
    </row>
    <row r="33" spans="1:7" x14ac:dyDescent="0.25">
      <c r="A33" t="s">
        <v>122</v>
      </c>
      <c r="B33" t="s">
        <v>126</v>
      </c>
      <c r="C33" t="s">
        <v>127</v>
      </c>
      <c r="E33" t="str">
        <f t="shared" si="0"/>
        <v/>
      </c>
      <c r="G33" t="s">
        <v>17</v>
      </c>
    </row>
    <row r="34" spans="1:7" x14ac:dyDescent="0.25">
      <c r="A34" t="s">
        <v>125</v>
      </c>
      <c r="B34" t="s">
        <v>129</v>
      </c>
      <c r="C34" t="s">
        <v>130</v>
      </c>
      <c r="E34" t="str">
        <f t="shared" ref="E34:E54" si="1">IF(D34="Yes","Pass",IF(D34="No","Fail",IF(D34="Not Applicable","Pass",IF(D34="Blocked","Blocked",IF(D34="Pending","Not Executed","")))))</f>
        <v/>
      </c>
      <c r="G34" t="s">
        <v>18</v>
      </c>
    </row>
    <row r="35" spans="1:7" x14ac:dyDescent="0.25">
      <c r="A35" t="s">
        <v>128</v>
      </c>
      <c r="B35" t="s">
        <v>132</v>
      </c>
      <c r="C35" t="s">
        <v>133</v>
      </c>
      <c r="E35" t="str">
        <f t="shared" si="1"/>
        <v/>
      </c>
      <c r="G35" t="s">
        <v>19</v>
      </c>
    </row>
    <row r="36" spans="1:7" x14ac:dyDescent="0.25">
      <c r="A36" t="s">
        <v>131</v>
      </c>
      <c r="B36" t="s">
        <v>135</v>
      </c>
      <c r="C36" t="s">
        <v>136</v>
      </c>
      <c r="E36" t="str">
        <f t="shared" si="1"/>
        <v/>
      </c>
      <c r="G36" t="s">
        <v>19</v>
      </c>
    </row>
    <row r="37" spans="1:7" x14ac:dyDescent="0.25">
      <c r="A37" t="s">
        <v>134</v>
      </c>
      <c r="B37" t="s">
        <v>138</v>
      </c>
      <c r="C37" t="s">
        <v>139</v>
      </c>
      <c r="E37" t="str">
        <f t="shared" si="1"/>
        <v/>
      </c>
      <c r="G37" t="s">
        <v>19</v>
      </c>
    </row>
    <row r="38" spans="1:7" x14ac:dyDescent="0.25">
      <c r="A38" t="s">
        <v>137</v>
      </c>
      <c r="B38" t="s">
        <v>141</v>
      </c>
      <c r="C38" t="s">
        <v>142</v>
      </c>
      <c r="E38" t="str">
        <f t="shared" si="1"/>
        <v/>
      </c>
      <c r="G38" t="s">
        <v>20</v>
      </c>
    </row>
    <row r="39" spans="1:7" x14ac:dyDescent="0.25">
      <c r="A39" t="s">
        <v>140</v>
      </c>
      <c r="B39" t="s">
        <v>144</v>
      </c>
      <c r="C39" t="s">
        <v>145</v>
      </c>
      <c r="E39" t="str">
        <f t="shared" si="1"/>
        <v/>
      </c>
      <c r="G39" t="s">
        <v>20</v>
      </c>
    </row>
    <row r="40" spans="1:7" x14ac:dyDescent="0.25">
      <c r="A40" t="s">
        <v>143</v>
      </c>
      <c r="B40" t="s">
        <v>147</v>
      </c>
      <c r="C40" t="s">
        <v>148</v>
      </c>
      <c r="E40" t="str">
        <f t="shared" si="1"/>
        <v/>
      </c>
      <c r="G40" t="s">
        <v>21</v>
      </c>
    </row>
    <row r="41" spans="1:7" x14ac:dyDescent="0.25">
      <c r="A41" t="s">
        <v>146</v>
      </c>
      <c r="B41" t="s">
        <v>150</v>
      </c>
      <c r="C41" t="s">
        <v>151</v>
      </c>
      <c r="E41" t="str">
        <f t="shared" si="1"/>
        <v/>
      </c>
      <c r="G41" t="s">
        <v>21</v>
      </c>
    </row>
    <row r="42" spans="1:7" x14ac:dyDescent="0.25">
      <c r="A42" t="s">
        <v>149</v>
      </c>
      <c r="B42" t="s">
        <v>153</v>
      </c>
      <c r="C42" t="s">
        <v>154</v>
      </c>
      <c r="E42" t="str">
        <f t="shared" si="1"/>
        <v/>
      </c>
      <c r="G42" t="s">
        <v>21</v>
      </c>
    </row>
    <row r="43" spans="1:7" x14ac:dyDescent="0.25">
      <c r="A43" t="s">
        <v>152</v>
      </c>
      <c r="B43" t="s">
        <v>156</v>
      </c>
      <c r="C43" t="s">
        <v>157</v>
      </c>
      <c r="E43" t="str">
        <f t="shared" si="1"/>
        <v/>
      </c>
      <c r="G43" t="s">
        <v>22</v>
      </c>
    </row>
    <row r="44" spans="1:7" x14ac:dyDescent="0.25">
      <c r="A44" t="s">
        <v>155</v>
      </c>
      <c r="B44" t="s">
        <v>159</v>
      </c>
      <c r="C44" t="s">
        <v>160</v>
      </c>
      <c r="E44" t="str">
        <f t="shared" si="1"/>
        <v/>
      </c>
      <c r="G44" t="s">
        <v>22</v>
      </c>
    </row>
    <row r="45" spans="1:7" x14ac:dyDescent="0.25">
      <c r="A45" t="s">
        <v>158</v>
      </c>
      <c r="B45" t="s">
        <v>162</v>
      </c>
      <c r="C45" t="s">
        <v>163</v>
      </c>
      <c r="E45" t="str">
        <f t="shared" si="1"/>
        <v/>
      </c>
      <c r="G45" t="s">
        <v>22</v>
      </c>
    </row>
    <row r="46" spans="1:7" x14ac:dyDescent="0.25">
      <c r="A46" t="s">
        <v>161</v>
      </c>
      <c r="B46" t="s">
        <v>165</v>
      </c>
      <c r="C46" t="s">
        <v>166</v>
      </c>
      <c r="E46" t="str">
        <f t="shared" si="1"/>
        <v/>
      </c>
      <c r="G46" t="s">
        <v>22</v>
      </c>
    </row>
    <row r="47" spans="1:7" x14ac:dyDescent="0.25">
      <c r="A47" t="s">
        <v>164</v>
      </c>
      <c r="B47" t="s">
        <v>168</v>
      </c>
      <c r="C47" t="s">
        <v>169</v>
      </c>
      <c r="E47" t="str">
        <f t="shared" si="1"/>
        <v/>
      </c>
      <c r="G47" t="s">
        <v>22</v>
      </c>
    </row>
    <row r="48" spans="1:7" x14ac:dyDescent="0.25">
      <c r="A48" t="s">
        <v>167</v>
      </c>
      <c r="B48" t="s">
        <v>171</v>
      </c>
      <c r="C48" t="s">
        <v>172</v>
      </c>
      <c r="E48" t="str">
        <f t="shared" si="1"/>
        <v/>
      </c>
      <c r="G48" t="s">
        <v>22</v>
      </c>
    </row>
    <row r="49" spans="1:7" x14ac:dyDescent="0.25">
      <c r="A49" t="s">
        <v>170</v>
      </c>
      <c r="B49" t="s">
        <v>174</v>
      </c>
      <c r="C49" t="s">
        <v>175</v>
      </c>
      <c r="E49" t="str">
        <f t="shared" si="1"/>
        <v/>
      </c>
      <c r="G49" t="s">
        <v>23</v>
      </c>
    </row>
    <row r="50" spans="1:7" x14ac:dyDescent="0.25">
      <c r="A50" t="s">
        <v>173</v>
      </c>
      <c r="B50" t="s">
        <v>177</v>
      </c>
      <c r="C50" t="s">
        <v>178</v>
      </c>
      <c r="E50" t="str">
        <f t="shared" si="1"/>
        <v/>
      </c>
      <c r="G50" t="s">
        <v>23</v>
      </c>
    </row>
    <row r="51" spans="1:7" x14ac:dyDescent="0.25">
      <c r="A51" t="s">
        <v>176</v>
      </c>
      <c r="B51" t="s">
        <v>180</v>
      </c>
      <c r="C51" t="s">
        <v>181</v>
      </c>
      <c r="E51" t="str">
        <f t="shared" si="1"/>
        <v/>
      </c>
      <c r="G51" t="s">
        <v>23</v>
      </c>
    </row>
    <row r="52" spans="1:7" x14ac:dyDescent="0.25">
      <c r="A52" t="s">
        <v>179</v>
      </c>
      <c r="B52" t="s">
        <v>183</v>
      </c>
      <c r="C52" t="s">
        <v>184</v>
      </c>
      <c r="E52" t="str">
        <f t="shared" si="1"/>
        <v/>
      </c>
      <c r="G52" t="s">
        <v>24</v>
      </c>
    </row>
    <row r="53" spans="1:7" x14ac:dyDescent="0.25">
      <c r="A53" t="s">
        <v>182</v>
      </c>
      <c r="B53" t="s">
        <v>186</v>
      </c>
      <c r="C53" t="s">
        <v>187</v>
      </c>
      <c r="E53" t="str">
        <f t="shared" si="1"/>
        <v/>
      </c>
      <c r="G53" t="s">
        <v>24</v>
      </c>
    </row>
    <row r="54" spans="1:7" x14ac:dyDescent="0.25">
      <c r="A54" t="s">
        <v>185</v>
      </c>
      <c r="B54" t="s">
        <v>188</v>
      </c>
      <c r="C54" t="s">
        <v>189</v>
      </c>
      <c r="E54" t="str">
        <f t="shared" si="1"/>
        <v/>
      </c>
      <c r="G54" t="s">
        <v>24</v>
      </c>
    </row>
  </sheetData>
  <dataValidations count="2">
    <dataValidation type="list" sqref="D2:D54" xr:uid="{00000000-0002-0000-0000-000000000000}">
      <formula1>"Yes,No,Not Applicable"</formula1>
    </dataValidation>
    <dataValidation type="list" sqref="D2:D54" xr:uid="{00000000-0002-0000-0000-000001000000}">
      <formula1>"Yes,No,Not Applicable,Blocked,Pending"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B28" sqref="B28"/>
    </sheetView>
  </sheetViews>
  <sheetFormatPr defaultColWidth="9.28515625" defaultRowHeight="15" x14ac:dyDescent="0.25"/>
  <cols>
    <col min="1" max="1" width="59.7109375" bestFit="1" customWidth="1"/>
    <col min="2" max="2" width="10.5703125" bestFit="1" customWidth="1"/>
    <col min="4" max="4" width="18.140625" bestFit="1" customWidth="1"/>
    <col min="5" max="9" width="13.7109375" customWidth="1"/>
  </cols>
  <sheetData>
    <row r="1" spans="1:9" x14ac:dyDescent="0.25">
      <c r="A1" t="s">
        <v>0</v>
      </c>
    </row>
    <row r="3" spans="1:9" x14ac:dyDescent="0.25">
      <c r="A3" t="s">
        <v>1</v>
      </c>
      <c r="B3" t="s">
        <v>2</v>
      </c>
    </row>
    <row r="4" spans="1:9" x14ac:dyDescent="0.25">
      <c r="A4" t="s">
        <v>3</v>
      </c>
      <c r="B4">
        <f>COUNTIF('Employee Master Tasks'!E:E,"Pass")</f>
        <v>0</v>
      </c>
    </row>
    <row r="5" spans="1:9" x14ac:dyDescent="0.25">
      <c r="A5" t="s">
        <v>4</v>
      </c>
      <c r="B5">
        <f>COUNTIF('Employee Master Tasks'!E:E,"Fail")</f>
        <v>0</v>
      </c>
    </row>
    <row r="6" spans="1:9" x14ac:dyDescent="0.25">
      <c r="A6" t="s">
        <v>190</v>
      </c>
      <c r="B6">
        <f>COUNTIF('Employee Master Tasks'!D:D,"Not Applicable")</f>
        <v>0</v>
      </c>
    </row>
    <row r="7" spans="1:9" x14ac:dyDescent="0.25">
      <c r="A7" t="s">
        <v>5</v>
      </c>
      <c r="B7">
        <f>COUNTA('Employee Master Tasks'!A:A)-1-B4-B5-B6</f>
        <v>53</v>
      </c>
    </row>
    <row r="10" spans="1:9" x14ac:dyDescent="0.25">
      <c r="A10" t="s">
        <v>6</v>
      </c>
      <c r="B10" t="s">
        <v>7</v>
      </c>
      <c r="D10" t="s">
        <v>6</v>
      </c>
      <c r="E10" t="s">
        <v>8</v>
      </c>
      <c r="F10" t="s">
        <v>3</v>
      </c>
      <c r="G10" t="s">
        <v>4</v>
      </c>
      <c r="H10" t="s">
        <v>190</v>
      </c>
      <c r="I10" t="s">
        <v>9</v>
      </c>
    </row>
    <row r="11" spans="1:9" x14ac:dyDescent="0.25">
      <c r="A11" t="s">
        <v>10</v>
      </c>
      <c r="B11">
        <v>0</v>
      </c>
      <c r="D11" t="s">
        <v>10</v>
      </c>
      <c r="E11">
        <f>COUNTIF('Employee Master Tasks'!G:G,D11)</f>
        <v>3</v>
      </c>
      <c r="F11">
        <f>COUNTIFS('Employee Master Tasks'!G:G,D11,'Employee Master Tasks'!E:E,"Pass")</f>
        <v>0</v>
      </c>
      <c r="G11">
        <f>COUNTIFS('Employee Master Tasks'!G:G,D11,'Employee Master Tasks'!E:E,"Fail")</f>
        <v>0</v>
      </c>
      <c r="H11">
        <f>COUNTIFS('Employee Master Tasks'!G:G,D11,'Employee Master Tasks'!E:E,"Blocked")</f>
        <v>0</v>
      </c>
      <c r="I11">
        <f t="shared" ref="I11:I25" si="0">E11-F11-G11-H11</f>
        <v>3</v>
      </c>
    </row>
    <row r="12" spans="1:9" x14ac:dyDescent="0.25">
      <c r="A12" t="s">
        <v>11</v>
      </c>
      <c r="B12">
        <v>0</v>
      </c>
      <c r="D12" t="s">
        <v>11</v>
      </c>
      <c r="E12">
        <f>COUNTIF('Employee Master Tasks'!G:G,D12)</f>
        <v>2</v>
      </c>
      <c r="F12">
        <f>COUNTIFS('Employee Master Tasks'!G:G,D12,'Employee Master Tasks'!E:E,"Pass")</f>
        <v>0</v>
      </c>
      <c r="G12">
        <f>COUNTIFS('Employee Master Tasks'!G:G,D12,'Employee Master Tasks'!E:E,"Fail")</f>
        <v>0</v>
      </c>
      <c r="H12">
        <f>COUNTIFS('Employee Master Tasks'!G:G,D12,'Employee Master Tasks'!E:E,"Blocked")</f>
        <v>0</v>
      </c>
      <c r="I12">
        <f t="shared" si="0"/>
        <v>2</v>
      </c>
    </row>
    <row r="13" spans="1:9" x14ac:dyDescent="0.25">
      <c r="A13" t="s">
        <v>12</v>
      </c>
      <c r="B13">
        <v>0</v>
      </c>
      <c r="D13" t="s">
        <v>12</v>
      </c>
      <c r="E13">
        <f>COUNTIF('Employee Master Tasks'!G:G,D13)</f>
        <v>10</v>
      </c>
      <c r="F13">
        <f>COUNTIFS('Employee Master Tasks'!G:G,D13,'Employee Master Tasks'!E:E,"Pass")</f>
        <v>0</v>
      </c>
      <c r="G13">
        <f>COUNTIFS('Employee Master Tasks'!G:G,D13,'Employee Master Tasks'!E:E,"Fail")</f>
        <v>0</v>
      </c>
      <c r="H13">
        <f>COUNTIFS('Employee Master Tasks'!G:G,D13,'Employee Master Tasks'!E:E,"Blocked")</f>
        <v>0</v>
      </c>
      <c r="I13">
        <f t="shared" si="0"/>
        <v>10</v>
      </c>
    </row>
    <row r="14" spans="1:9" x14ac:dyDescent="0.25">
      <c r="A14" t="s">
        <v>13</v>
      </c>
      <c r="B14">
        <v>0</v>
      </c>
      <c r="D14" t="s">
        <v>13</v>
      </c>
      <c r="E14">
        <f>COUNTIF('Employee Master Tasks'!G:G,D14)</f>
        <v>3</v>
      </c>
      <c r="F14">
        <f>COUNTIFS('Employee Master Tasks'!G:G,D14,'Employee Master Tasks'!E:E,"Pass")</f>
        <v>0</v>
      </c>
      <c r="G14">
        <f>COUNTIFS('Employee Master Tasks'!G:G,D14,'Employee Master Tasks'!E:E,"Fail")</f>
        <v>0</v>
      </c>
      <c r="H14">
        <f>COUNTIFS('Employee Master Tasks'!G:G,D14,'Employee Master Tasks'!E:E,"Blocked")</f>
        <v>0</v>
      </c>
      <c r="I14">
        <f t="shared" si="0"/>
        <v>3</v>
      </c>
    </row>
    <row r="15" spans="1:9" x14ac:dyDescent="0.25">
      <c r="A15" t="s">
        <v>14</v>
      </c>
      <c r="B15">
        <v>0</v>
      </c>
      <c r="D15" t="s">
        <v>14</v>
      </c>
      <c r="E15">
        <f>COUNTIF('Employee Master Tasks'!G:G,D15)</f>
        <v>6</v>
      </c>
      <c r="F15">
        <f>COUNTIFS('Employee Master Tasks'!G:G,D15,'Employee Master Tasks'!E:E,"Pass")</f>
        <v>0</v>
      </c>
      <c r="G15">
        <f>COUNTIFS('Employee Master Tasks'!G:G,D15,'Employee Master Tasks'!E:E,"Fail")</f>
        <v>0</v>
      </c>
      <c r="H15">
        <f>COUNTIFS('Employee Master Tasks'!G:G,D15,'Employee Master Tasks'!E:E,"Blocked")</f>
        <v>0</v>
      </c>
      <c r="I15">
        <f t="shared" si="0"/>
        <v>6</v>
      </c>
    </row>
    <row r="16" spans="1:9" x14ac:dyDescent="0.25">
      <c r="A16" t="s">
        <v>15</v>
      </c>
      <c r="B16">
        <v>0</v>
      </c>
      <c r="D16" t="s">
        <v>15</v>
      </c>
      <c r="E16">
        <f>COUNTIF('Employee Master Tasks'!G:G,D16)</f>
        <v>3</v>
      </c>
      <c r="F16">
        <f>COUNTIFS('Employee Master Tasks'!G:G,D16,'Employee Master Tasks'!E:E,"Pass")</f>
        <v>0</v>
      </c>
      <c r="G16">
        <f>COUNTIFS('Employee Master Tasks'!G:G,D16,'Employee Master Tasks'!E:E,"Fail")</f>
        <v>0</v>
      </c>
      <c r="H16">
        <f>COUNTIFS('Employee Master Tasks'!G:G,D16,'Employee Master Tasks'!E:E,"Blocked")</f>
        <v>0</v>
      </c>
      <c r="I16">
        <f t="shared" si="0"/>
        <v>3</v>
      </c>
    </row>
    <row r="17" spans="1:9" x14ac:dyDescent="0.25">
      <c r="A17" t="s">
        <v>16</v>
      </c>
      <c r="B17">
        <v>0</v>
      </c>
      <c r="D17" t="s">
        <v>16</v>
      </c>
      <c r="E17">
        <f>COUNTIF('Employee Master Tasks'!G:G,D17)</f>
        <v>2</v>
      </c>
      <c r="F17">
        <f>COUNTIFS('Employee Master Tasks'!G:G,D17,'Employee Master Tasks'!E:E,"Pass")</f>
        <v>0</v>
      </c>
      <c r="G17">
        <f>COUNTIFS('Employee Master Tasks'!G:G,D17,'Employee Master Tasks'!E:E,"Fail")</f>
        <v>0</v>
      </c>
      <c r="H17">
        <f>COUNTIFS('Employee Master Tasks'!G:G,D17,'Employee Master Tasks'!E:E,"Blocked")</f>
        <v>0</v>
      </c>
      <c r="I17">
        <f t="shared" si="0"/>
        <v>2</v>
      </c>
    </row>
    <row r="18" spans="1:9" x14ac:dyDescent="0.25">
      <c r="A18" t="s">
        <v>17</v>
      </c>
      <c r="B18">
        <v>0</v>
      </c>
      <c r="D18" t="s">
        <v>17</v>
      </c>
      <c r="E18">
        <f>COUNTIF('Employee Master Tasks'!G:G,D18)</f>
        <v>3</v>
      </c>
      <c r="F18">
        <f>COUNTIFS('Employee Master Tasks'!G:G,D18,'Employee Master Tasks'!E:E,"Pass")</f>
        <v>0</v>
      </c>
      <c r="G18">
        <f>COUNTIFS('Employee Master Tasks'!G:G,D18,'Employee Master Tasks'!E:E,"Fail")</f>
        <v>0</v>
      </c>
      <c r="H18">
        <f>COUNTIFS('Employee Master Tasks'!G:G,D18,'Employee Master Tasks'!E:E,"Blocked")</f>
        <v>0</v>
      </c>
      <c r="I18">
        <f t="shared" si="0"/>
        <v>3</v>
      </c>
    </row>
    <row r="19" spans="1:9" x14ac:dyDescent="0.25">
      <c r="A19" t="s">
        <v>18</v>
      </c>
      <c r="B19">
        <v>0</v>
      </c>
      <c r="D19" t="s">
        <v>18</v>
      </c>
      <c r="E19">
        <f>COUNTIF('Employee Master Tasks'!G:G,D19)</f>
        <v>1</v>
      </c>
      <c r="F19">
        <f>COUNTIFS('Employee Master Tasks'!G:G,D19,'Employee Master Tasks'!E:E,"Pass")</f>
        <v>0</v>
      </c>
      <c r="G19">
        <f>COUNTIFS('Employee Master Tasks'!G:G,D19,'Employee Master Tasks'!E:E,"Fail")</f>
        <v>0</v>
      </c>
      <c r="H19">
        <f>COUNTIFS('Employee Master Tasks'!G:G,D19,'Employee Master Tasks'!E:E,"Blocked")</f>
        <v>0</v>
      </c>
      <c r="I19">
        <f t="shared" si="0"/>
        <v>1</v>
      </c>
    </row>
    <row r="20" spans="1:9" x14ac:dyDescent="0.25">
      <c r="A20" t="s">
        <v>19</v>
      </c>
      <c r="B20">
        <v>0</v>
      </c>
      <c r="D20" t="s">
        <v>19</v>
      </c>
      <c r="E20">
        <f>COUNTIF('Employee Master Tasks'!G:G,D20)</f>
        <v>3</v>
      </c>
      <c r="F20">
        <f>COUNTIFS('Employee Master Tasks'!G:G,D20,'Employee Master Tasks'!E:E,"Pass")</f>
        <v>0</v>
      </c>
      <c r="G20">
        <f>COUNTIFS('Employee Master Tasks'!G:G,D20,'Employee Master Tasks'!E:E,"Fail")</f>
        <v>0</v>
      </c>
      <c r="H20">
        <f>COUNTIFS('Employee Master Tasks'!G:G,D20,'Employee Master Tasks'!E:E,"Blocked")</f>
        <v>0</v>
      </c>
      <c r="I20">
        <f t="shared" si="0"/>
        <v>3</v>
      </c>
    </row>
    <row r="21" spans="1:9" x14ac:dyDescent="0.25">
      <c r="A21" t="s">
        <v>20</v>
      </c>
      <c r="B21">
        <v>0</v>
      </c>
      <c r="D21" t="s">
        <v>20</v>
      </c>
      <c r="E21">
        <f>COUNTIF('Employee Master Tasks'!G:G,D21)</f>
        <v>2</v>
      </c>
      <c r="F21">
        <f>COUNTIFS('Employee Master Tasks'!G:G,D21,'Employee Master Tasks'!E:E,"Pass")</f>
        <v>0</v>
      </c>
      <c r="G21">
        <f>COUNTIFS('Employee Master Tasks'!G:G,D21,'Employee Master Tasks'!E:E,"Fail")</f>
        <v>0</v>
      </c>
      <c r="H21">
        <f>COUNTIFS('Employee Master Tasks'!G:G,D21,'Employee Master Tasks'!E:E,"Blocked")</f>
        <v>0</v>
      </c>
      <c r="I21">
        <f t="shared" si="0"/>
        <v>2</v>
      </c>
    </row>
    <row r="22" spans="1:9" x14ac:dyDescent="0.25">
      <c r="A22" t="s">
        <v>21</v>
      </c>
      <c r="B22">
        <v>0</v>
      </c>
      <c r="D22" t="s">
        <v>21</v>
      </c>
      <c r="E22">
        <f>COUNTIF('Employee Master Tasks'!G:G,D22)</f>
        <v>3</v>
      </c>
      <c r="F22">
        <f>COUNTIFS('Employee Master Tasks'!G:G,D22,'Employee Master Tasks'!E:E,"Pass")</f>
        <v>0</v>
      </c>
      <c r="G22">
        <f>COUNTIFS('Employee Master Tasks'!G:G,D22,'Employee Master Tasks'!E:E,"Fail")</f>
        <v>0</v>
      </c>
      <c r="H22">
        <f>COUNTIFS('Employee Master Tasks'!G:G,D22,'Employee Master Tasks'!E:E,"Blocked")</f>
        <v>0</v>
      </c>
      <c r="I22">
        <f t="shared" si="0"/>
        <v>3</v>
      </c>
    </row>
    <row r="23" spans="1:9" x14ac:dyDescent="0.25">
      <c r="A23" t="s">
        <v>22</v>
      </c>
      <c r="B23">
        <v>0</v>
      </c>
      <c r="D23" t="s">
        <v>22</v>
      </c>
      <c r="E23">
        <f>COUNTIF('Employee Master Tasks'!G:G,D23)</f>
        <v>6</v>
      </c>
      <c r="F23">
        <f>COUNTIFS('Employee Master Tasks'!G:G,D23,'Employee Master Tasks'!E:E,"Pass")</f>
        <v>0</v>
      </c>
      <c r="G23">
        <f>COUNTIFS('Employee Master Tasks'!G:G,D23,'Employee Master Tasks'!E:E,"Fail")</f>
        <v>0</v>
      </c>
      <c r="H23">
        <f>COUNTIFS('Employee Master Tasks'!G:G,D23,'Employee Master Tasks'!E:E,"Blocked")</f>
        <v>0</v>
      </c>
      <c r="I23">
        <f t="shared" si="0"/>
        <v>6</v>
      </c>
    </row>
    <row r="24" spans="1:9" x14ac:dyDescent="0.25">
      <c r="A24" t="s">
        <v>23</v>
      </c>
      <c r="B24">
        <v>0</v>
      </c>
      <c r="D24" t="s">
        <v>23</v>
      </c>
      <c r="E24">
        <f>COUNTIF('Employee Master Tasks'!G:G,D24)</f>
        <v>3</v>
      </c>
      <c r="F24">
        <f>COUNTIFS('Employee Master Tasks'!G:G,D24,'Employee Master Tasks'!E:E,"Pass")</f>
        <v>0</v>
      </c>
      <c r="G24">
        <f>COUNTIFS('Employee Master Tasks'!G:G,D24,'Employee Master Tasks'!E:E,"Fail")</f>
        <v>0</v>
      </c>
      <c r="H24">
        <f>COUNTIFS('Employee Master Tasks'!G:G,D24,'Employee Master Tasks'!E:E,"Blocked")</f>
        <v>0</v>
      </c>
      <c r="I24">
        <f t="shared" si="0"/>
        <v>3</v>
      </c>
    </row>
    <row r="25" spans="1:9" x14ac:dyDescent="0.25">
      <c r="A25" t="s">
        <v>24</v>
      </c>
      <c r="B25">
        <v>0</v>
      </c>
      <c r="D25" t="s">
        <v>24</v>
      </c>
      <c r="E25">
        <f>COUNTIF('Employee Master Tasks'!G:G,D25)</f>
        <v>3</v>
      </c>
      <c r="F25">
        <f>COUNTIFS('Employee Master Tasks'!G:G,D25,'Employee Master Tasks'!E:E,"Pass")</f>
        <v>0</v>
      </c>
      <c r="G25">
        <f>COUNTIFS('Employee Master Tasks'!G:G,D25,'Employee Master Tasks'!E:E,"Fail")</f>
        <v>0</v>
      </c>
      <c r="H25">
        <f>COUNTIFS('Employee Master Tasks'!G:G,D25,'Employee Master Tasks'!E:E,"Blocked")</f>
        <v>0</v>
      </c>
      <c r="I25">
        <f t="shared" si="0"/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 Tasks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Navale</cp:lastModifiedBy>
  <dcterms:created xsi:type="dcterms:W3CDTF">2026-05-30T09:42:33Z</dcterms:created>
  <dcterms:modified xsi:type="dcterms:W3CDTF">2026-05-30T17:34:09Z</dcterms:modified>
</cp:coreProperties>
</file>