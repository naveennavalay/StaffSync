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6B776FD-49F4-4B47-BA39-99BAA9AA1300}" xr6:coauthVersionLast="46" xr6:coauthVersionMax="46" xr10:uidLastSave="{00000000-0000-0000-0000-000000000000}"/>
  <bookViews>
    <workbookView xWindow="-108" yWindow="-108" windowWidth="23256" windowHeight="13176" xr2:uid="{5A62A44F-B65C-41A4-878A-43A746E4C7E9}"/>
  </bookViews>
  <sheets>
    <sheet name="Computation Sheet" sheetId="1" r:id="rId1"/>
    <sheet name="Bonus" sheetId="4" r:id="rId2"/>
    <sheet name="TDS" sheetId="3" r:id="rId3"/>
    <sheet name="Structure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7" i="1" l="1"/>
  <c r="X8" i="1"/>
  <c r="X9" i="1"/>
  <c r="X10" i="1"/>
  <c r="X11" i="1"/>
  <c r="X12" i="1"/>
  <c r="X13" i="1"/>
  <c r="X14" i="1"/>
  <c r="X15" i="1"/>
  <c r="X6" i="1"/>
  <c r="W7" i="1"/>
  <c r="W8" i="1"/>
  <c r="W9" i="1"/>
  <c r="W10" i="1"/>
  <c r="W11" i="1"/>
  <c r="W12" i="1"/>
  <c r="W13" i="1"/>
  <c r="W14" i="1"/>
  <c r="W15" i="1"/>
  <c r="W6" i="1"/>
  <c r="K6" i="4"/>
  <c r="K7" i="4"/>
  <c r="K8" i="4"/>
  <c r="K9" i="4"/>
  <c r="K10" i="4"/>
  <c r="K11" i="4"/>
  <c r="K12" i="4"/>
  <c r="K13" i="4"/>
  <c r="K14" i="4"/>
  <c r="K5" i="4"/>
  <c r="I6" i="4"/>
  <c r="I7" i="4"/>
  <c r="I8" i="4"/>
  <c r="I9" i="4"/>
  <c r="I10" i="4"/>
  <c r="I11" i="4"/>
  <c r="I12" i="4"/>
  <c r="I13" i="4"/>
  <c r="I14" i="4"/>
  <c r="I5" i="4"/>
  <c r="H6" i="4"/>
  <c r="H7" i="4"/>
  <c r="H8" i="4"/>
  <c r="H9" i="4"/>
  <c r="H10" i="4"/>
  <c r="H11" i="4"/>
  <c r="H12" i="4"/>
  <c r="H13" i="4"/>
  <c r="H14" i="4"/>
  <c r="H5" i="4"/>
  <c r="G6" i="4"/>
  <c r="G7" i="4"/>
  <c r="G8" i="4"/>
  <c r="G9" i="4"/>
  <c r="G10" i="4"/>
  <c r="G11" i="4"/>
  <c r="G12" i="4"/>
  <c r="G13" i="4"/>
  <c r="G14" i="4"/>
  <c r="G5" i="4"/>
  <c r="V7" i="1"/>
  <c r="V8" i="1"/>
  <c r="V9" i="1"/>
  <c r="V10" i="1"/>
  <c r="V11" i="1"/>
  <c r="V12" i="1"/>
  <c r="V13" i="1"/>
  <c r="V14" i="1"/>
  <c r="V15" i="1"/>
  <c r="V6" i="1"/>
  <c r="U7" i="1"/>
  <c r="U8" i="1"/>
  <c r="U9" i="1"/>
  <c r="U10" i="1"/>
  <c r="U11" i="1"/>
  <c r="U12" i="1"/>
  <c r="U13" i="1"/>
  <c r="U14" i="1"/>
  <c r="U15" i="1"/>
  <c r="U6" i="1"/>
  <c r="T7" i="1"/>
  <c r="T8" i="1"/>
  <c r="T9" i="1"/>
  <c r="T10" i="1"/>
  <c r="T11" i="1"/>
  <c r="T12" i="1"/>
  <c r="T13" i="1"/>
  <c r="T14" i="1"/>
  <c r="T15" i="1"/>
  <c r="T6" i="1"/>
  <c r="S7" i="1"/>
  <c r="S8" i="1"/>
  <c r="S9" i="1"/>
  <c r="S10" i="1"/>
  <c r="S11" i="1"/>
  <c r="S12" i="1"/>
  <c r="S13" i="1"/>
  <c r="S14" i="1"/>
  <c r="S15" i="1"/>
  <c r="S6" i="1"/>
  <c r="Q7" i="1"/>
  <c r="Q8" i="1"/>
  <c r="Q9" i="1"/>
  <c r="Q10" i="1"/>
  <c r="Q11" i="1"/>
  <c r="Q12" i="1"/>
  <c r="Q13" i="1"/>
  <c r="Q14" i="1"/>
  <c r="Q15" i="1"/>
  <c r="Q6" i="1"/>
  <c r="O7" i="1"/>
  <c r="O8" i="1"/>
  <c r="O9" i="1"/>
  <c r="O10" i="1"/>
  <c r="O11" i="1"/>
  <c r="O12" i="1"/>
  <c r="O13" i="1"/>
  <c r="O14" i="1"/>
  <c r="O15" i="1"/>
  <c r="O6" i="1"/>
  <c r="N7" i="1"/>
  <c r="N8" i="1"/>
  <c r="N9" i="1"/>
  <c r="N10" i="1"/>
  <c r="N11" i="1"/>
  <c r="N12" i="1"/>
  <c r="N13" i="1"/>
  <c r="N14" i="1"/>
  <c r="N15" i="1"/>
  <c r="N6" i="1"/>
  <c r="M7" i="1"/>
  <c r="M8" i="1"/>
  <c r="M9" i="1"/>
  <c r="M10" i="1"/>
  <c r="M11" i="1"/>
  <c r="M12" i="1"/>
  <c r="M13" i="1"/>
  <c r="M14" i="1"/>
  <c r="M15" i="1"/>
  <c r="M6" i="1"/>
  <c r="L7" i="1"/>
  <c r="L8" i="1"/>
  <c r="L9" i="1"/>
  <c r="L10" i="1"/>
  <c r="L11" i="1"/>
  <c r="L12" i="1"/>
  <c r="L13" i="1"/>
  <c r="L14" i="1"/>
  <c r="L15" i="1"/>
  <c r="L6" i="1"/>
  <c r="I7" i="1"/>
  <c r="I8" i="1"/>
  <c r="I9" i="1"/>
  <c r="I10" i="1"/>
  <c r="I11" i="1"/>
  <c r="I12" i="1"/>
  <c r="I13" i="1"/>
  <c r="I14" i="1"/>
  <c r="I15" i="1"/>
  <c r="I6" i="1"/>
  <c r="H7" i="1"/>
  <c r="H8" i="1"/>
  <c r="H9" i="1"/>
  <c r="H10" i="1"/>
  <c r="H11" i="1"/>
  <c r="H12" i="1"/>
  <c r="H13" i="1"/>
  <c r="H14" i="1"/>
  <c r="H15" i="1"/>
  <c r="H6" i="1"/>
  <c r="G7" i="1"/>
  <c r="G8" i="1"/>
  <c r="G9" i="1"/>
  <c r="G10" i="1"/>
  <c r="G11" i="1"/>
  <c r="G12" i="1"/>
  <c r="G13" i="1"/>
  <c r="G14" i="1"/>
  <c r="G15" i="1"/>
  <c r="G6" i="1"/>
  <c r="C7" i="1"/>
  <c r="C8" i="1"/>
  <c r="C9" i="1"/>
  <c r="C10" i="1"/>
  <c r="C11" i="1"/>
  <c r="C12" i="1"/>
  <c r="C13" i="1"/>
  <c r="C14" i="1"/>
  <c r="C15" i="1"/>
  <c r="C6" i="1"/>
  <c r="A8" i="1"/>
  <c r="A9" i="1"/>
  <c r="A10" i="1" s="1"/>
  <c r="A11" i="1" s="1"/>
  <c r="A12" i="1" s="1"/>
  <c r="A13" i="1" s="1"/>
  <c r="A14" i="1" s="1"/>
  <c r="A15" i="1" s="1"/>
  <c r="A7" i="1"/>
  <c r="G12" i="2"/>
  <c r="G11" i="2"/>
  <c r="G10" i="2"/>
  <c r="G9" i="2"/>
  <c r="G8" i="2"/>
  <c r="G7" i="2"/>
  <c r="G6" i="2"/>
  <c r="G5" i="2"/>
  <c r="G4" i="2"/>
  <c r="G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Awasthi</author>
  </authors>
  <commentList>
    <comment ref="G4" authorId="0" shapeId="0" xr:uid="{5D4CB660-CA19-472B-8FB0-793894632DA5}">
      <text>
        <r>
          <rPr>
            <b/>
            <sz val="9"/>
            <color indexed="81"/>
            <rFont val="Tahoma"/>
            <family val="2"/>
          </rPr>
          <t>Awasthi:</t>
        </r>
        <r>
          <rPr>
            <sz val="9"/>
            <color indexed="81"/>
            <rFont val="Tahoma"/>
            <family val="2"/>
          </rPr>
          <t xml:space="preserve">
Other than OT</t>
        </r>
      </text>
    </comment>
    <comment ref="J4" authorId="0" shapeId="0" xr:uid="{ABBC7941-5C17-46AA-A24B-BF8A331ACDEC}">
      <text>
        <r>
          <rPr>
            <b/>
            <sz val="9"/>
            <color indexed="81"/>
            <rFont val="Tahoma"/>
            <family val="2"/>
          </rPr>
          <t>Awasthi:</t>
        </r>
        <r>
          <rPr>
            <sz val="9"/>
            <color indexed="81"/>
            <rFont val="Tahoma"/>
            <family val="2"/>
          </rPr>
          <t xml:space="preserve">
As per Bonus Act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Awasthi</author>
  </authors>
  <commentList>
    <comment ref="E6" authorId="0" shapeId="0" xr:uid="{9715E2CA-F9B7-40EC-AA23-5E8C05C63AA2}">
      <text>
        <r>
          <rPr>
            <b/>
            <sz val="9"/>
            <color indexed="81"/>
            <rFont val="Tahoma"/>
            <charset val="1"/>
          </rPr>
          <t>Awasthi:</t>
        </r>
        <r>
          <rPr>
            <sz val="9"/>
            <color indexed="81"/>
            <rFont val="Tahoma"/>
            <charset val="1"/>
          </rPr>
          <t xml:space="preserve">
As per TDS calculation utility</t>
        </r>
      </text>
    </comment>
  </commentList>
</comments>
</file>

<file path=xl/sharedStrings.xml><?xml version="1.0" encoding="utf-8"?>
<sst xmlns="http://schemas.openxmlformats.org/spreadsheetml/2006/main" count="180" uniqueCount="84">
  <si>
    <t>Employee information</t>
  </si>
  <si>
    <t>Salary information</t>
  </si>
  <si>
    <t>Cost to Company</t>
  </si>
  <si>
    <t>Sr.No</t>
  </si>
  <si>
    <t>E-Code</t>
  </si>
  <si>
    <t>Name</t>
  </si>
  <si>
    <t>Days in Month</t>
  </si>
  <si>
    <t>Payable days</t>
  </si>
  <si>
    <t>Basic</t>
  </si>
  <si>
    <t>HRA</t>
  </si>
  <si>
    <t>Special All</t>
  </si>
  <si>
    <t>OT</t>
  </si>
  <si>
    <t>Incentive</t>
  </si>
  <si>
    <t>Gross Salary</t>
  </si>
  <si>
    <t>EPF</t>
  </si>
  <si>
    <t>ESI</t>
  </si>
  <si>
    <t>TDS</t>
  </si>
  <si>
    <t>Pro Tax</t>
  </si>
  <si>
    <t>Net Salary</t>
  </si>
  <si>
    <t>PFCO</t>
  </si>
  <si>
    <t>PF Exp</t>
  </si>
  <si>
    <t>ESI Co</t>
  </si>
  <si>
    <t>Gratuity</t>
  </si>
  <si>
    <t>Bonus</t>
  </si>
  <si>
    <t>CTC</t>
  </si>
  <si>
    <t>Remark</t>
  </si>
  <si>
    <t>Total</t>
  </si>
  <si>
    <t>Increment</t>
  </si>
  <si>
    <t>Incrememt Rate</t>
  </si>
  <si>
    <t>D49404</t>
  </si>
  <si>
    <t>Argha Roy</t>
  </si>
  <si>
    <t>1.June.2020</t>
  </si>
  <si>
    <t>NA</t>
  </si>
  <si>
    <t>D49405</t>
  </si>
  <si>
    <t>Ashish Tiwari</t>
  </si>
  <si>
    <t>D49408</t>
  </si>
  <si>
    <t>Aslam Sabri</t>
  </si>
  <si>
    <t>1.April.2020</t>
  </si>
  <si>
    <t>D49409</t>
  </si>
  <si>
    <t>Avik Das</t>
  </si>
  <si>
    <t>D49410</t>
  </si>
  <si>
    <t>Avtar Singh</t>
  </si>
  <si>
    <t>D49411</t>
  </si>
  <si>
    <t>Brotin Ghosh</t>
  </si>
  <si>
    <t>D49415</t>
  </si>
  <si>
    <t>Devesh Yadav</t>
  </si>
  <si>
    <t>D49416</t>
  </si>
  <si>
    <t>Dinesh Kumar</t>
  </si>
  <si>
    <t>D49418</t>
  </si>
  <si>
    <t>Dushyant Yadav</t>
  </si>
  <si>
    <t>D49421</t>
  </si>
  <si>
    <t>Indrajit Das</t>
  </si>
  <si>
    <t>Employee Info</t>
  </si>
  <si>
    <t>E Code</t>
  </si>
  <si>
    <t>PAN</t>
  </si>
  <si>
    <t>AGOPR8914B</t>
  </si>
  <si>
    <t>AGOPR8914C</t>
  </si>
  <si>
    <t>AGOPR8914D</t>
  </si>
  <si>
    <t>AGOPR8914E</t>
  </si>
  <si>
    <t>AGOPR8914F</t>
  </si>
  <si>
    <t>AGOPR8914G</t>
  </si>
  <si>
    <t>AGOPR8914H</t>
  </si>
  <si>
    <t>AGOPR8914I</t>
  </si>
  <si>
    <t>AGOPR8914J</t>
  </si>
  <si>
    <t>AGOPR8914K</t>
  </si>
  <si>
    <t>State</t>
  </si>
  <si>
    <t>Nature</t>
  </si>
  <si>
    <t>Gross salary</t>
  </si>
  <si>
    <t>Eligibility</t>
  </si>
  <si>
    <t>Minimum Wages</t>
  </si>
  <si>
    <t>Ceiling</t>
  </si>
  <si>
    <t>Bonus Amount</t>
  </si>
  <si>
    <t>Delhi</t>
  </si>
  <si>
    <t>Unskilled</t>
  </si>
  <si>
    <t>Skilled</t>
  </si>
  <si>
    <t>Semi-Skilled</t>
  </si>
  <si>
    <t>Basic per month</t>
  </si>
  <si>
    <t>VDA per month</t>
  </si>
  <si>
    <t>Total per month</t>
  </si>
  <si>
    <t>Total per day</t>
  </si>
  <si>
    <t>Semi-skilled</t>
  </si>
  <si>
    <t>Clerical and supervisory staff - Non Matriculate</t>
  </si>
  <si>
    <t>Clerical and supervisory staff - Matriculate but not Graduate</t>
  </si>
  <si>
    <t>Clerical and supervisory staff - Graduate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</si>
</sst>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4" formatCode="_ &quot;₹&quot;\ * #,##0.00_ ;_ &quot;₹&quot;\ * \-#,##0.00_ ;_ &quot;₹&quot;\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name val="Adobe Garamond Pro Bold"/>
      <family val="1"/>
    </font>
    <font>
      <b/>
      <sz val="11"/>
      <name val="Arial Narrow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Sitka Text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rgb="FF696969"/>
      <name val="Times New Roman"/>
      <family val="1"/>
    </font>
    <font>
      <sz val="9"/>
      <color rgb="FF696969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 shrinkToFit="1"/>
    </xf>
    <xf numFmtId="0" fontId="4" fillId="3" borderId="2" xfId="0" applyFont="1" applyFill="1" applyBorder="1" applyAlignment="1">
      <alignment horizontal="center" vertical="center" wrapText="1" shrinkToFit="1"/>
    </xf>
    <xf numFmtId="0" fontId="4" fillId="3" borderId="3" xfId="0" applyFont="1" applyFill="1" applyBorder="1" applyAlignment="1">
      <alignment horizontal="center" vertical="center" wrapText="1" shrinkToFit="1"/>
    </xf>
    <xf numFmtId="0" fontId="5" fillId="3" borderId="3" xfId="0" applyFont="1" applyFill="1" applyBorder="1" applyAlignment="1">
      <alignment horizontal="center" vertical="center" wrapText="1" shrinkToFit="1"/>
    </xf>
    <xf numFmtId="0" fontId="5" fillId="3" borderId="4" xfId="0" applyFont="1" applyFill="1" applyBorder="1" applyAlignment="1">
      <alignment horizontal="center" vertical="center" wrapText="1" shrinkToFit="1"/>
    </xf>
    <xf numFmtId="0" fontId="6" fillId="0" borderId="5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44" fontId="6" fillId="0" borderId="1" xfId="0" applyNumberFormat="1" applyFont="1" applyBorder="1" applyAlignment="1">
      <alignment horizontal="center" shrinkToFit="1"/>
    </xf>
    <xf numFmtId="44" fontId="7" fillId="4" borderId="1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horizontal="center"/>
    </xf>
    <xf numFmtId="0" fontId="0" fillId="0" borderId="6" xfId="0" applyBorder="1"/>
    <xf numFmtId="9" fontId="0" fillId="0" borderId="1" xfId="0" applyNumberFormat="1" applyBorder="1" applyAlignment="1">
      <alignment horizontal="center"/>
    </xf>
    <xf numFmtId="0" fontId="6" fillId="0" borderId="7" xfId="0" applyFont="1" applyBorder="1" applyAlignment="1">
      <alignment horizontal="center" shrinkToFit="1"/>
    </xf>
    <xf numFmtId="0" fontId="6" fillId="0" borderId="8" xfId="0" applyFont="1" applyBorder="1" applyAlignment="1">
      <alignment horizontal="center" shrinkToFit="1"/>
    </xf>
    <xf numFmtId="44" fontId="6" fillId="0" borderId="8" xfId="0" applyNumberFormat="1" applyFont="1" applyBorder="1" applyAlignment="1">
      <alignment horizontal="center" shrinkToFit="1"/>
    </xf>
    <xf numFmtId="44" fontId="7" fillId="4" borderId="8" xfId="0" applyNumberFormat="1" applyFont="1" applyFill="1" applyBorder="1" applyAlignment="1">
      <alignment horizontal="center" shrinkToFit="1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" xfId="0" applyBorder="1"/>
    <xf numFmtId="0" fontId="0" fillId="0" borderId="0" xfId="0" applyProtection="1">
      <protection locked="0"/>
    </xf>
    <xf numFmtId="0" fontId="8" fillId="3" borderId="2" xfId="0" applyFont="1" applyFill="1" applyBorder="1" applyAlignment="1" applyProtection="1">
      <alignment horizontal="center"/>
      <protection hidden="1"/>
    </xf>
    <xf numFmtId="0" fontId="8" fillId="3" borderId="3" xfId="0" applyFont="1" applyFill="1" applyBorder="1" applyAlignment="1" applyProtection="1">
      <alignment horizontal="center"/>
      <protection hidden="1"/>
    </xf>
    <xf numFmtId="0" fontId="8" fillId="3" borderId="5" xfId="0" applyFont="1" applyFill="1" applyBorder="1" applyAlignment="1" applyProtection="1">
      <alignment horizontal="center" vertical="center"/>
      <protection hidden="1"/>
    </xf>
    <xf numFmtId="0" fontId="8" fillId="3" borderId="1" xfId="0" applyFont="1" applyFill="1" applyBorder="1" applyAlignment="1" applyProtection="1">
      <alignment horizontal="center" vertical="center"/>
      <protection hidden="1"/>
    </xf>
    <xf numFmtId="0" fontId="8" fillId="3" borderId="10" xfId="0" applyFont="1" applyFill="1" applyBorder="1" applyAlignment="1" applyProtection="1">
      <alignment horizontal="center" vertical="center"/>
      <protection hidden="1"/>
    </xf>
    <xf numFmtId="0" fontId="8" fillId="3" borderId="1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 shrinkToFit="1"/>
    </xf>
    <xf numFmtId="49" fontId="9" fillId="0" borderId="1" xfId="0" applyNumberFormat="1" applyFont="1" applyBorder="1" applyAlignment="1" applyProtection="1">
      <alignment horizontal="left" vertical="center" shrinkToFit="1"/>
      <protection locked="0"/>
    </xf>
    <xf numFmtId="44" fontId="10" fillId="0" borderId="1" xfId="0" applyNumberFormat="1" applyFont="1" applyBorder="1"/>
    <xf numFmtId="0" fontId="3" fillId="3" borderId="2" xfId="0" applyFont="1" applyFill="1" applyBorder="1" applyAlignment="1">
      <alignment horizontal="center" vertical="center" wrapText="1" shrinkToFit="1"/>
    </xf>
    <xf numFmtId="0" fontId="3" fillId="3" borderId="3" xfId="0" applyFont="1" applyFill="1" applyBorder="1" applyAlignment="1">
      <alignment horizontal="center" vertical="center" wrapText="1" shrinkToFit="1"/>
    </xf>
    <xf numFmtId="0" fontId="3" fillId="3" borderId="4" xfId="0" applyFont="1" applyFill="1" applyBorder="1" applyAlignment="1">
      <alignment horizontal="center" vertical="center" wrapText="1" shrinkToFit="1"/>
    </xf>
    <xf numFmtId="0" fontId="6" fillId="0" borderId="5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0" borderId="6" xfId="0" applyNumberFormat="1" applyBorder="1" applyAlignment="1">
      <alignment horizontal="center" vertical="center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8" fontId="14" fillId="5" borderId="0" xfId="0" applyNumberFormat="1" applyFont="1" applyFill="1" applyAlignment="1">
      <alignment horizontal="center" vertical="center" wrapText="1"/>
    </xf>
    <xf numFmtId="8" fontId="14" fillId="5" borderId="16" xfId="0" applyNumberFormat="1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left" vertical="center" wrapText="1"/>
    </xf>
    <xf numFmtId="0" fontId="14" fillId="5" borderId="18" xfId="0" applyFont="1" applyFill="1" applyBorder="1" applyAlignment="1">
      <alignment horizontal="left" vertical="center" wrapText="1"/>
    </xf>
    <xf numFmtId="8" fontId="14" fillId="5" borderId="18" xfId="0" applyNumberFormat="1" applyFont="1" applyFill="1" applyBorder="1" applyAlignment="1">
      <alignment horizontal="center" vertical="center" wrapText="1"/>
    </xf>
    <xf numFmtId="8" fontId="14" fillId="5" borderId="19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3" borderId="20" xfId="0" applyFont="1" applyFill="1" applyBorder="1" applyAlignment="1">
      <alignment horizontal="center" vertical="center" wrapText="1" shrinkToFit="1"/>
    </xf>
    <xf numFmtId="0" fontId="0" fillId="0" borderId="21" xfId="0" applyBorder="1"/>
    <xf numFmtId="0" fontId="0" fillId="0" borderId="22" xfId="0" applyBorder="1"/>
    <xf numFmtId="44" fontId="0" fillId="0" borderId="5" xfId="1" applyFont="1" applyBorder="1"/>
    <xf numFmtId="44" fontId="0" fillId="0" borderId="1" xfId="1" applyFont="1" applyBorder="1"/>
    <xf numFmtId="44" fontId="0" fillId="0" borderId="6" xfId="1" applyFont="1" applyBorder="1"/>
    <xf numFmtId="44" fontId="0" fillId="0" borderId="7" xfId="1" applyFont="1" applyBorder="1"/>
    <xf numFmtId="44" fontId="0" fillId="0" borderId="8" xfId="1" applyFont="1" applyBorder="1"/>
    <xf numFmtId="44" fontId="0" fillId="0" borderId="9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3530600" cy="4003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3BBA37-EAF9-472B-81F0-4B9EDE5F909E}"/>
            </a:ext>
          </a:extLst>
        </xdr:cNvPr>
        <xdr:cNvSpPr txBox="1"/>
      </xdr:nvSpPr>
      <xdr:spPr>
        <a:xfrm>
          <a:off x="0" y="1"/>
          <a:ext cx="3530600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dobe Garamond Pro Bold" panose="02020702060506020403" pitchFamily="18" charset="0"/>
              <a:ea typeface="Adobe Kaiti Std R" panose="02020400000000000000" pitchFamily="18" charset="-128"/>
            </a:rPr>
            <a:t>Salary</a:t>
          </a:r>
          <a:r>
            <a:rPr lang="en-IN" sz="2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dobe Garamond Pro Bold" panose="02020702060506020403" pitchFamily="18" charset="0"/>
              <a:ea typeface="Adobe Kaiti Std R" panose="02020400000000000000" pitchFamily="18" charset="-128"/>
            </a:rPr>
            <a:t> Computation</a:t>
          </a:r>
          <a:endParaRPr lang="en-IN" sz="2000">
            <a:latin typeface="Adobe Garamond Pro Bold" panose="02020702060506020403" pitchFamily="18" charset="0"/>
            <a:ea typeface="Adobe Kaiti Std R" panose="02020400000000000000" pitchFamily="18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194529" cy="5235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F31FA3-E0F8-4BEE-AE49-BB39B54D4BCD}"/>
            </a:ext>
          </a:extLst>
        </xdr:cNvPr>
        <xdr:cNvSpPr txBox="1"/>
      </xdr:nvSpPr>
      <xdr:spPr>
        <a:xfrm>
          <a:off x="0" y="0"/>
          <a:ext cx="3194529" cy="523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dobe Garamond Pro Bold" panose="02020702060506020403" pitchFamily="18" charset="0"/>
              <a:ea typeface="Adobe Kaiti Std R" panose="02020400000000000000" pitchFamily="18" charset="-128"/>
            </a:rPr>
            <a:t>Bonus</a:t>
          </a:r>
          <a:r>
            <a:rPr lang="en-IN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dobe Garamond Pro Bold" panose="02020702060506020403" pitchFamily="18" charset="0"/>
              <a:ea typeface="Adobe Kaiti Std R" panose="02020400000000000000" pitchFamily="18" charset="-128"/>
            </a:rPr>
            <a:t> Computation</a:t>
          </a:r>
          <a:endParaRPr lang="en-IN" sz="2800">
            <a:latin typeface="Adobe Garamond Pro Bold" panose="02020702060506020403" pitchFamily="18" charset="0"/>
            <a:ea typeface="Adobe Kaiti Std R" panose="02020400000000000000" pitchFamily="18" charset="-128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18</xdr:row>
      <xdr:rowOff>0</xdr:rowOff>
    </xdr:from>
    <xdr:ext cx="184730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77956F-D96C-40C0-AF46-3504BD94F84C}"/>
            </a:ext>
          </a:extLst>
        </xdr:cNvPr>
        <xdr:cNvSpPr/>
      </xdr:nvSpPr>
      <xdr:spPr>
        <a:xfrm>
          <a:off x="3581400" y="3764280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0</xdr:col>
      <xdr:colOff>489857</xdr:colOff>
      <xdr:row>0</xdr:row>
      <xdr:rowOff>21772</xdr:rowOff>
    </xdr:from>
    <xdr:ext cx="10304437" cy="80554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17E54D-11BF-4D0D-ACFD-44A92FCC2E6E}"/>
            </a:ext>
          </a:extLst>
        </xdr:cNvPr>
        <xdr:cNvSpPr/>
      </xdr:nvSpPr>
      <xdr:spPr>
        <a:xfrm>
          <a:off x="489857" y="21772"/>
          <a:ext cx="10304437" cy="805542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en-US" sz="4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TDS Amount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8063-57B4-475C-A28E-75B131A09B2A}">
  <dimension ref="A3:Z15"/>
  <sheetViews>
    <sheetView showGridLines="0" tabSelected="1" topLeftCell="E1" zoomScale="140" zoomScaleNormal="140" workbookViewId="0">
      <selection activeCell="R7" sqref="R7"/>
    </sheetView>
  </sheetViews>
  <sheetFormatPr defaultRowHeight="14.4" x14ac:dyDescent="0.3"/>
  <cols>
    <col min="3" max="3" width="14.44140625" bestFit="1" customWidth="1"/>
    <col min="7" max="9" width="11.6640625" bestFit="1" customWidth="1"/>
    <col min="10" max="11" width="9" bestFit="1" customWidth="1"/>
    <col min="12" max="12" width="13.109375" bestFit="1" customWidth="1"/>
    <col min="13" max="13" width="10.5546875" bestFit="1" customWidth="1"/>
    <col min="14" max="14" width="9.109375" bestFit="1" customWidth="1"/>
    <col min="15" max="15" width="10.5546875" bestFit="1" customWidth="1"/>
    <col min="16" max="16" width="9" bestFit="1" customWidth="1"/>
    <col min="17" max="17" width="13.109375" bestFit="1" customWidth="1"/>
    <col min="19" max="19" width="10.5546875" bestFit="1" customWidth="1"/>
    <col min="20" max="21" width="9.109375" bestFit="1" customWidth="1"/>
    <col min="22" max="23" width="10.5546875" bestFit="1" customWidth="1"/>
    <col min="24" max="24" width="13.109375" bestFit="1" customWidth="1"/>
  </cols>
  <sheetData>
    <row r="3" spans="1:26" x14ac:dyDescent="0.3">
      <c r="A3" s="1" t="s">
        <v>0</v>
      </c>
      <c r="B3" s="1"/>
      <c r="C3" s="1"/>
      <c r="D3" s="1"/>
      <c r="E3" s="1"/>
      <c r="G3" s="1" t="s">
        <v>1</v>
      </c>
      <c r="H3" s="1"/>
      <c r="I3" s="1"/>
      <c r="J3" s="1"/>
      <c r="K3" s="1"/>
      <c r="L3" s="1"/>
      <c r="M3" s="1"/>
      <c r="N3" s="1"/>
      <c r="O3" s="1"/>
      <c r="P3" s="1"/>
      <c r="Q3" s="1"/>
      <c r="S3" s="1" t="s">
        <v>2</v>
      </c>
      <c r="T3" s="1"/>
      <c r="U3" s="1"/>
      <c r="V3" s="1"/>
      <c r="W3" s="1"/>
      <c r="X3" s="1"/>
    </row>
    <row r="4" spans="1:26" ht="15" thickBot="1" x14ac:dyDescent="0.35"/>
    <row r="5" spans="1:26" ht="28.8" x14ac:dyDescent="0.3">
      <c r="A5" s="31" t="s">
        <v>3</v>
      </c>
      <c r="B5" s="32" t="s">
        <v>4</v>
      </c>
      <c r="C5" s="32" t="s">
        <v>5</v>
      </c>
      <c r="D5" s="32" t="s">
        <v>6</v>
      </c>
      <c r="E5" s="33" t="s">
        <v>7</v>
      </c>
      <c r="F5" s="2"/>
      <c r="G5" s="31" t="s">
        <v>8</v>
      </c>
      <c r="H5" s="32" t="s">
        <v>9</v>
      </c>
      <c r="I5" s="32" t="s">
        <v>10</v>
      </c>
      <c r="J5" s="32" t="s">
        <v>11</v>
      </c>
      <c r="K5" s="32" t="s">
        <v>12</v>
      </c>
      <c r="L5" s="32" t="s">
        <v>13</v>
      </c>
      <c r="M5" s="32" t="s">
        <v>14</v>
      </c>
      <c r="N5" s="32" t="s">
        <v>15</v>
      </c>
      <c r="O5" s="32" t="s">
        <v>16</v>
      </c>
      <c r="P5" s="32" t="s">
        <v>17</v>
      </c>
      <c r="Q5" s="33" t="s">
        <v>18</v>
      </c>
      <c r="R5" s="2"/>
      <c r="S5" s="31" t="s">
        <v>19</v>
      </c>
      <c r="T5" s="32" t="s">
        <v>20</v>
      </c>
      <c r="U5" s="32" t="s">
        <v>21</v>
      </c>
      <c r="V5" s="32" t="s">
        <v>22</v>
      </c>
      <c r="W5" s="32" t="s">
        <v>23</v>
      </c>
      <c r="X5" s="33" t="s">
        <v>24</v>
      </c>
      <c r="Y5" s="2"/>
      <c r="Z5" s="56" t="s">
        <v>25</v>
      </c>
    </row>
    <row r="6" spans="1:26" x14ac:dyDescent="0.3">
      <c r="A6" s="53">
        <v>1</v>
      </c>
      <c r="B6" s="8" t="s">
        <v>29</v>
      </c>
      <c r="C6" s="20" t="str">
        <f>+VLOOKUP(B6,Structure!$B$3:$C$12,2,0)</f>
        <v>Argha Roy</v>
      </c>
      <c r="D6" s="20">
        <v>31</v>
      </c>
      <c r="E6" s="12">
        <v>31</v>
      </c>
      <c r="G6" s="59">
        <f>VLOOKUP(B6,Structure!$B$3:$D$12,3,0)/D6*E6</f>
        <v>14300</v>
      </c>
      <c r="H6" s="60">
        <f>VLOOKUP(B6,Structure!$B$3:$E$12,4,0)/D6*E6</f>
        <v>7104</v>
      </c>
      <c r="I6" s="60">
        <f>VLOOKUP(B6,Structure!$B$3:$F$12,5,0)/D6*E6</f>
        <v>0</v>
      </c>
      <c r="J6" s="60">
        <v>0</v>
      </c>
      <c r="K6" s="60">
        <v>0</v>
      </c>
      <c r="L6" s="60">
        <f>+SUM(G6:K6)</f>
        <v>21404</v>
      </c>
      <c r="M6" s="60">
        <f>IF(G6&lt;=15000,G6*12%,15000*12%)</f>
        <v>1716</v>
      </c>
      <c r="N6" s="60">
        <f>IF(L6&lt;=21000,L6*0.75%,0)</f>
        <v>0</v>
      </c>
      <c r="O6" s="60">
        <f>+VLOOKUP(B6,TDS!$B$9:$E$18,4,0)</f>
        <v>0</v>
      </c>
      <c r="P6" s="60">
        <v>0</v>
      </c>
      <c r="Q6" s="61">
        <f>+L6-M6-N6-O6-P6</f>
        <v>19688</v>
      </c>
      <c r="S6" s="59">
        <f>M6</f>
        <v>1716</v>
      </c>
      <c r="T6" s="60">
        <f>IF(G6&lt;=15000,G6*1/100,150)</f>
        <v>143</v>
      </c>
      <c r="U6" s="60">
        <f>N6/0.75*3.25</f>
        <v>0</v>
      </c>
      <c r="V6" s="60">
        <f>+G6*4.81%</f>
        <v>687.82999999999993</v>
      </c>
      <c r="W6" s="60">
        <f>+VLOOKUP(B6,Bonus!$C$5:$K$14,9,0)</f>
        <v>0</v>
      </c>
      <c r="X6" s="61">
        <f>+L6+S6+T6+U6+V6+W6</f>
        <v>23950.83</v>
      </c>
      <c r="Z6" s="57"/>
    </row>
    <row r="7" spans="1:26" x14ac:dyDescent="0.3">
      <c r="A7" s="53">
        <f>+A6+1</f>
        <v>2</v>
      </c>
      <c r="B7" s="8" t="s">
        <v>33</v>
      </c>
      <c r="C7" s="20" t="str">
        <f>+VLOOKUP(B7,Structure!$B$3:$C$12,2,0)</f>
        <v>Ashish Tiwari</v>
      </c>
      <c r="D7" s="20">
        <v>31</v>
      </c>
      <c r="E7" s="12">
        <v>31</v>
      </c>
      <c r="G7" s="59">
        <f>VLOOKUP(B7,Structure!$B$3:$D$12,3,0)/D7*E7</f>
        <v>17000</v>
      </c>
      <c r="H7" s="60">
        <f>VLOOKUP(B7,Structure!$B$3:$E$12,4,0)/D7*E7</f>
        <v>8500</v>
      </c>
      <c r="I7" s="60">
        <f>VLOOKUP(B7,Structure!$B$3:$F$12,5,0)/D7*E7</f>
        <v>5633</v>
      </c>
      <c r="J7" s="60">
        <v>0</v>
      </c>
      <c r="K7" s="60">
        <v>0</v>
      </c>
      <c r="L7" s="60">
        <f t="shared" ref="L7:L15" si="0">+SUM(G7:K7)</f>
        <v>31133</v>
      </c>
      <c r="M7" s="60">
        <f t="shared" ref="M7:M15" si="1">IF(G7&lt;=15000,G7*12%,15000*12%)</f>
        <v>1800</v>
      </c>
      <c r="N7" s="60">
        <f t="shared" ref="N7:N15" si="2">IF(L7&lt;=21000,L7*0.75%,0)</f>
        <v>0</v>
      </c>
      <c r="O7" s="60">
        <f>+VLOOKUP(B7,TDS!$B$9:$E$18,4,0)</f>
        <v>0</v>
      </c>
      <c r="P7" s="60">
        <v>0</v>
      </c>
      <c r="Q7" s="61">
        <f t="shared" ref="Q7:Q15" si="3">+L7-M7-N7-O7-P7</f>
        <v>29333</v>
      </c>
      <c r="S7" s="59">
        <f t="shared" ref="S7:S15" si="4">M7</f>
        <v>1800</v>
      </c>
      <c r="T7" s="60">
        <f t="shared" ref="T7:T15" si="5">IF(G7&lt;=15000,G7*1/100,150)</f>
        <v>150</v>
      </c>
      <c r="U7" s="60">
        <f t="shared" ref="U7:U15" si="6">N7/0.75*3.25</f>
        <v>0</v>
      </c>
      <c r="V7" s="60">
        <f t="shared" ref="V7:V15" si="7">+G7*4.81%</f>
        <v>817.69999999999993</v>
      </c>
      <c r="W7" s="60">
        <f>+VLOOKUP(B7,Bonus!$C$5:$K$14,9,0)</f>
        <v>0</v>
      </c>
      <c r="X7" s="61">
        <f t="shared" ref="X7:X15" si="8">+L7+S7+T7+U7+V7+W7</f>
        <v>33900.699999999997</v>
      </c>
      <c r="Z7" s="57"/>
    </row>
    <row r="8" spans="1:26" x14ac:dyDescent="0.3">
      <c r="A8" s="53">
        <f t="shared" ref="A8:A15" si="9">+A7+1</f>
        <v>3</v>
      </c>
      <c r="B8" s="8" t="s">
        <v>35</v>
      </c>
      <c r="C8" s="20" t="str">
        <f>+VLOOKUP(B8,Structure!$B$3:$C$12,2,0)</f>
        <v>Aslam Sabri</v>
      </c>
      <c r="D8" s="20">
        <v>31</v>
      </c>
      <c r="E8" s="12">
        <v>31</v>
      </c>
      <c r="G8" s="59">
        <f>VLOOKUP(B8,Structure!$B$3:$D$12,3,0)/D8*E8</f>
        <v>80000</v>
      </c>
      <c r="H8" s="60">
        <f>VLOOKUP(B8,Structure!$B$3:$E$12,4,0)/D8*E8</f>
        <v>37000</v>
      </c>
      <c r="I8" s="60">
        <f>VLOOKUP(B8,Structure!$B$3:$F$12,5,0)/D8*E8</f>
        <v>57075</v>
      </c>
      <c r="J8" s="60">
        <v>0</v>
      </c>
      <c r="K8" s="60">
        <v>0</v>
      </c>
      <c r="L8" s="60">
        <f t="shared" si="0"/>
        <v>174075</v>
      </c>
      <c r="M8" s="60">
        <f t="shared" si="1"/>
        <v>1800</v>
      </c>
      <c r="N8" s="60">
        <f t="shared" si="2"/>
        <v>0</v>
      </c>
      <c r="O8" s="60">
        <f>+VLOOKUP(B8,TDS!$B$9:$E$18,4,0)</f>
        <v>1800</v>
      </c>
      <c r="P8" s="60">
        <v>0</v>
      </c>
      <c r="Q8" s="61">
        <f t="shared" si="3"/>
        <v>170475</v>
      </c>
      <c r="S8" s="59">
        <f t="shared" si="4"/>
        <v>1800</v>
      </c>
      <c r="T8" s="60">
        <f t="shared" si="5"/>
        <v>150</v>
      </c>
      <c r="U8" s="60">
        <f t="shared" si="6"/>
        <v>0</v>
      </c>
      <c r="V8" s="60">
        <f t="shared" si="7"/>
        <v>3847.9999999999995</v>
      </c>
      <c r="W8" s="60">
        <f>+VLOOKUP(B8,Bonus!$C$5:$K$14,9,0)</f>
        <v>0</v>
      </c>
      <c r="X8" s="61">
        <f t="shared" si="8"/>
        <v>179873</v>
      </c>
      <c r="Z8" s="57"/>
    </row>
    <row r="9" spans="1:26" x14ac:dyDescent="0.3">
      <c r="A9" s="53">
        <f t="shared" si="9"/>
        <v>4</v>
      </c>
      <c r="B9" s="8" t="s">
        <v>38</v>
      </c>
      <c r="C9" s="20" t="str">
        <f>+VLOOKUP(B9,Structure!$B$3:$C$12,2,0)</f>
        <v>Avik Das</v>
      </c>
      <c r="D9" s="20">
        <v>31</v>
      </c>
      <c r="E9" s="12">
        <v>31</v>
      </c>
      <c r="G9" s="59">
        <f>VLOOKUP(B9,Structure!$B$3:$D$12,3,0)/D9*E9</f>
        <v>13500</v>
      </c>
      <c r="H9" s="60">
        <f>VLOOKUP(B9,Structure!$B$3:$E$12,4,0)/D9*E9</f>
        <v>6284</v>
      </c>
      <c r="I9" s="60">
        <f>VLOOKUP(B9,Structure!$B$3:$F$12,5,0)/D9*E9</f>
        <v>0</v>
      </c>
      <c r="J9" s="60">
        <v>0</v>
      </c>
      <c r="K9" s="60">
        <v>0</v>
      </c>
      <c r="L9" s="60">
        <f t="shared" si="0"/>
        <v>19784</v>
      </c>
      <c r="M9" s="60">
        <f t="shared" si="1"/>
        <v>1620</v>
      </c>
      <c r="N9" s="60">
        <f t="shared" si="2"/>
        <v>148.38</v>
      </c>
      <c r="O9" s="60">
        <f>+VLOOKUP(B9,TDS!$B$9:$E$18,4,0)</f>
        <v>0</v>
      </c>
      <c r="P9" s="60">
        <v>0</v>
      </c>
      <c r="Q9" s="61">
        <f t="shared" si="3"/>
        <v>18015.62</v>
      </c>
      <c r="S9" s="59">
        <f t="shared" si="4"/>
        <v>1620</v>
      </c>
      <c r="T9" s="60">
        <f t="shared" si="5"/>
        <v>135</v>
      </c>
      <c r="U9" s="60">
        <f t="shared" si="6"/>
        <v>642.98</v>
      </c>
      <c r="V9" s="60">
        <f t="shared" si="7"/>
        <v>649.34999999999991</v>
      </c>
      <c r="W9" s="60">
        <f>+VLOOKUP(B9,Bonus!$C$5:$K$14,9,0)</f>
        <v>1493.0691999999999</v>
      </c>
      <c r="X9" s="61">
        <f t="shared" si="8"/>
        <v>24324.3992</v>
      </c>
      <c r="Z9" s="57"/>
    </row>
    <row r="10" spans="1:26" x14ac:dyDescent="0.3">
      <c r="A10" s="53">
        <f t="shared" si="9"/>
        <v>5</v>
      </c>
      <c r="B10" s="8" t="s">
        <v>40</v>
      </c>
      <c r="C10" s="20" t="str">
        <f>+VLOOKUP(B10,Structure!$B$3:$C$12,2,0)</f>
        <v>Avtar Singh</v>
      </c>
      <c r="D10" s="20">
        <v>31</v>
      </c>
      <c r="E10" s="12">
        <v>31</v>
      </c>
      <c r="G10" s="59">
        <f>VLOOKUP(B10,Structure!$B$3:$D$12,3,0)/D10*E10</f>
        <v>13500</v>
      </c>
      <c r="H10" s="60">
        <f>VLOOKUP(B10,Structure!$B$3:$E$12,4,0)/D10*E10</f>
        <v>6284</v>
      </c>
      <c r="I10" s="60">
        <f>VLOOKUP(B10,Structure!$B$3:$F$12,5,0)/D10*E10</f>
        <v>0</v>
      </c>
      <c r="J10" s="60">
        <v>0</v>
      </c>
      <c r="K10" s="60">
        <v>0</v>
      </c>
      <c r="L10" s="60">
        <f t="shared" si="0"/>
        <v>19784</v>
      </c>
      <c r="M10" s="60">
        <f t="shared" si="1"/>
        <v>1620</v>
      </c>
      <c r="N10" s="60">
        <f t="shared" si="2"/>
        <v>148.38</v>
      </c>
      <c r="O10" s="60">
        <f>+VLOOKUP(B10,TDS!$B$9:$E$18,4,0)</f>
        <v>0</v>
      </c>
      <c r="P10" s="60">
        <v>0</v>
      </c>
      <c r="Q10" s="61">
        <f t="shared" si="3"/>
        <v>18015.62</v>
      </c>
      <c r="S10" s="59">
        <f t="shared" si="4"/>
        <v>1620</v>
      </c>
      <c r="T10" s="60">
        <f t="shared" si="5"/>
        <v>135</v>
      </c>
      <c r="U10" s="60">
        <f t="shared" si="6"/>
        <v>642.98</v>
      </c>
      <c r="V10" s="60">
        <f t="shared" si="7"/>
        <v>649.34999999999991</v>
      </c>
      <c r="W10" s="60">
        <f>+VLOOKUP(B10,Bonus!$C$5:$K$14,9,0)</f>
        <v>1356.4571999999998</v>
      </c>
      <c r="X10" s="61">
        <f t="shared" si="8"/>
        <v>24187.787199999999</v>
      </c>
      <c r="Z10" s="57"/>
    </row>
    <row r="11" spans="1:26" x14ac:dyDescent="0.3">
      <c r="A11" s="53">
        <f t="shared" si="9"/>
        <v>6</v>
      </c>
      <c r="B11" s="8" t="s">
        <v>42</v>
      </c>
      <c r="C11" s="20" t="str">
        <f>+VLOOKUP(B11,Structure!$B$3:$C$12,2,0)</f>
        <v>Brotin Ghosh</v>
      </c>
      <c r="D11" s="20">
        <v>31</v>
      </c>
      <c r="E11" s="12">
        <v>31</v>
      </c>
      <c r="G11" s="59">
        <f>VLOOKUP(B11,Structure!$B$3:$D$12,3,0)/D11*E11</f>
        <v>13500</v>
      </c>
      <c r="H11" s="60">
        <f>VLOOKUP(B11,Structure!$B$3:$E$12,4,0)/D11*E11</f>
        <v>6284</v>
      </c>
      <c r="I11" s="60">
        <f>VLOOKUP(B11,Structure!$B$3:$F$12,5,0)/D11*E11</f>
        <v>0</v>
      </c>
      <c r="J11" s="60">
        <v>0</v>
      </c>
      <c r="K11" s="60">
        <v>0</v>
      </c>
      <c r="L11" s="60">
        <f t="shared" si="0"/>
        <v>19784</v>
      </c>
      <c r="M11" s="60">
        <f t="shared" si="1"/>
        <v>1620</v>
      </c>
      <c r="N11" s="60">
        <f t="shared" si="2"/>
        <v>148.38</v>
      </c>
      <c r="O11" s="60">
        <f>+VLOOKUP(B11,TDS!$B$9:$E$18,4,0)</f>
        <v>0</v>
      </c>
      <c r="P11" s="60">
        <v>0</v>
      </c>
      <c r="Q11" s="61">
        <f t="shared" si="3"/>
        <v>18015.62</v>
      </c>
      <c r="S11" s="59">
        <f t="shared" si="4"/>
        <v>1620</v>
      </c>
      <c r="T11" s="60">
        <f t="shared" si="5"/>
        <v>135</v>
      </c>
      <c r="U11" s="60">
        <f t="shared" si="6"/>
        <v>642.98</v>
      </c>
      <c r="V11" s="60">
        <f t="shared" si="7"/>
        <v>649.34999999999991</v>
      </c>
      <c r="W11" s="60">
        <f>+VLOOKUP(B11,Bonus!$C$5:$K$14,9,0)</f>
        <v>1233.3398</v>
      </c>
      <c r="X11" s="61">
        <f t="shared" si="8"/>
        <v>24064.6698</v>
      </c>
      <c r="Z11" s="57"/>
    </row>
    <row r="12" spans="1:26" x14ac:dyDescent="0.3">
      <c r="A12" s="53">
        <f t="shared" si="9"/>
        <v>7</v>
      </c>
      <c r="B12" s="8" t="s">
        <v>44</v>
      </c>
      <c r="C12" s="20" t="str">
        <f>+VLOOKUP(B12,Structure!$B$3:$C$12,2,0)</f>
        <v>Devesh Yadav</v>
      </c>
      <c r="D12" s="20">
        <v>31</v>
      </c>
      <c r="E12" s="12">
        <v>31</v>
      </c>
      <c r="G12" s="59">
        <f>VLOOKUP(B12,Structure!$B$3:$D$12,3,0)/D12*E12</f>
        <v>25000</v>
      </c>
      <c r="H12" s="60">
        <f>VLOOKUP(B12,Structure!$B$3:$E$12,4,0)/D12*E12</f>
        <v>12500</v>
      </c>
      <c r="I12" s="60">
        <f>VLOOKUP(B12,Structure!$B$3:$F$12,5,0)/D12*E12</f>
        <v>15929.000000000002</v>
      </c>
      <c r="J12" s="60">
        <v>0</v>
      </c>
      <c r="K12" s="60">
        <v>0</v>
      </c>
      <c r="L12" s="60">
        <f t="shared" si="0"/>
        <v>53429</v>
      </c>
      <c r="M12" s="60">
        <f t="shared" si="1"/>
        <v>1800</v>
      </c>
      <c r="N12" s="60">
        <f t="shared" si="2"/>
        <v>0</v>
      </c>
      <c r="O12" s="60">
        <f>+VLOOKUP(B12,TDS!$B$9:$E$18,4,0)</f>
        <v>1200</v>
      </c>
      <c r="P12" s="60">
        <v>0</v>
      </c>
      <c r="Q12" s="61">
        <f t="shared" si="3"/>
        <v>50429</v>
      </c>
      <c r="S12" s="59">
        <f t="shared" si="4"/>
        <v>1800</v>
      </c>
      <c r="T12" s="60">
        <f t="shared" si="5"/>
        <v>150</v>
      </c>
      <c r="U12" s="60">
        <f t="shared" si="6"/>
        <v>0</v>
      </c>
      <c r="V12" s="60">
        <f t="shared" si="7"/>
        <v>1202.5</v>
      </c>
      <c r="W12" s="60">
        <f>+VLOOKUP(B12,Bonus!$C$5:$K$14,9,0)</f>
        <v>0</v>
      </c>
      <c r="X12" s="61">
        <f t="shared" si="8"/>
        <v>56581.5</v>
      </c>
      <c r="Z12" s="57"/>
    </row>
    <row r="13" spans="1:26" x14ac:dyDescent="0.3">
      <c r="A13" s="53">
        <f t="shared" si="9"/>
        <v>8</v>
      </c>
      <c r="B13" s="8" t="s">
        <v>46</v>
      </c>
      <c r="C13" s="20" t="str">
        <f>+VLOOKUP(B13,Structure!$B$3:$C$12,2,0)</f>
        <v>Dinesh Kumar</v>
      </c>
      <c r="D13" s="20">
        <v>31</v>
      </c>
      <c r="E13" s="12">
        <v>31</v>
      </c>
      <c r="G13" s="59">
        <f>VLOOKUP(B13,Structure!$B$3:$D$12,3,0)/D13*E13</f>
        <v>26000</v>
      </c>
      <c r="H13" s="60">
        <f>VLOOKUP(B13,Structure!$B$3:$E$12,4,0)/D13*E13</f>
        <v>13000</v>
      </c>
      <c r="I13" s="60">
        <f>VLOOKUP(B13,Structure!$B$3:$F$12,5,0)/D13*E13</f>
        <v>7720</v>
      </c>
      <c r="J13" s="60">
        <v>0</v>
      </c>
      <c r="K13" s="60">
        <v>0</v>
      </c>
      <c r="L13" s="60">
        <f t="shared" si="0"/>
        <v>46720</v>
      </c>
      <c r="M13" s="60">
        <f t="shared" si="1"/>
        <v>1800</v>
      </c>
      <c r="N13" s="60">
        <f t="shared" si="2"/>
        <v>0</v>
      </c>
      <c r="O13" s="60">
        <f>+VLOOKUP(B13,TDS!$B$9:$E$18,4,0)</f>
        <v>600</v>
      </c>
      <c r="P13" s="60">
        <v>0</v>
      </c>
      <c r="Q13" s="61">
        <f t="shared" si="3"/>
        <v>44320</v>
      </c>
      <c r="S13" s="59">
        <f t="shared" si="4"/>
        <v>1800</v>
      </c>
      <c r="T13" s="60">
        <f t="shared" si="5"/>
        <v>150</v>
      </c>
      <c r="U13" s="60">
        <f t="shared" si="6"/>
        <v>0</v>
      </c>
      <c r="V13" s="60">
        <f t="shared" si="7"/>
        <v>1250.5999999999999</v>
      </c>
      <c r="W13" s="60">
        <f>+VLOOKUP(B13,Bonus!$C$5:$K$14,9,0)</f>
        <v>0</v>
      </c>
      <c r="X13" s="61">
        <f t="shared" si="8"/>
        <v>49920.6</v>
      </c>
      <c r="Z13" s="57"/>
    </row>
    <row r="14" spans="1:26" x14ac:dyDescent="0.3">
      <c r="A14" s="53">
        <f t="shared" si="9"/>
        <v>9</v>
      </c>
      <c r="B14" s="8" t="s">
        <v>48</v>
      </c>
      <c r="C14" s="20" t="str">
        <f>+VLOOKUP(B14,Structure!$B$3:$C$12,2,0)</f>
        <v>Dushyant Yadav</v>
      </c>
      <c r="D14" s="20">
        <v>31</v>
      </c>
      <c r="E14" s="12">
        <v>31</v>
      </c>
      <c r="G14" s="59">
        <f>VLOOKUP(B14,Structure!$B$3:$D$12,3,0)/D14*E14</f>
        <v>35000</v>
      </c>
      <c r="H14" s="60">
        <f>VLOOKUP(B14,Structure!$B$3:$E$12,4,0)/D14*E14</f>
        <v>17500</v>
      </c>
      <c r="I14" s="60">
        <f>VLOOKUP(B14,Structure!$B$3:$F$12,5,0)/D14*E14</f>
        <v>1587</v>
      </c>
      <c r="J14" s="60">
        <v>0</v>
      </c>
      <c r="K14" s="60">
        <v>0</v>
      </c>
      <c r="L14" s="60">
        <f t="shared" si="0"/>
        <v>54087</v>
      </c>
      <c r="M14" s="60">
        <f t="shared" si="1"/>
        <v>1800</v>
      </c>
      <c r="N14" s="60">
        <f t="shared" si="2"/>
        <v>0</v>
      </c>
      <c r="O14" s="60">
        <f>+VLOOKUP(B14,TDS!$B$9:$E$18,4,0)</f>
        <v>1250</v>
      </c>
      <c r="P14" s="60">
        <v>0</v>
      </c>
      <c r="Q14" s="61">
        <f t="shared" si="3"/>
        <v>51037</v>
      </c>
      <c r="S14" s="59">
        <f t="shared" si="4"/>
        <v>1800</v>
      </c>
      <c r="T14" s="60">
        <f t="shared" si="5"/>
        <v>150</v>
      </c>
      <c r="U14" s="60">
        <f t="shared" si="6"/>
        <v>0</v>
      </c>
      <c r="V14" s="60">
        <f t="shared" si="7"/>
        <v>1683.5</v>
      </c>
      <c r="W14" s="60">
        <f>+VLOOKUP(B14,Bonus!$C$5:$K$14,9,0)</f>
        <v>0</v>
      </c>
      <c r="X14" s="61">
        <f t="shared" si="8"/>
        <v>57720.5</v>
      </c>
      <c r="Z14" s="57"/>
    </row>
    <row r="15" spans="1:26" ht="15" thickBot="1" x14ac:dyDescent="0.35">
      <c r="A15" s="54">
        <f t="shared" si="9"/>
        <v>10</v>
      </c>
      <c r="B15" s="15" t="s">
        <v>50</v>
      </c>
      <c r="C15" s="55" t="str">
        <f>+VLOOKUP(B15,Structure!$B$3:$C$12,2,0)</f>
        <v>Indrajit Das</v>
      </c>
      <c r="D15" s="55">
        <v>31</v>
      </c>
      <c r="E15" s="19">
        <v>31</v>
      </c>
      <c r="G15" s="62">
        <f>VLOOKUP(B15,Structure!$B$3:$D$12,3,0)/D15*E15</f>
        <v>32000</v>
      </c>
      <c r="H15" s="63">
        <f>VLOOKUP(B15,Structure!$B$3:$E$12,4,0)/D15*E15</f>
        <v>16000</v>
      </c>
      <c r="I15" s="63">
        <f>VLOOKUP(B15,Structure!$B$3:$F$12,5,0)/D15*E15</f>
        <v>12000</v>
      </c>
      <c r="J15" s="63">
        <v>0</v>
      </c>
      <c r="K15" s="63">
        <v>0</v>
      </c>
      <c r="L15" s="63">
        <f t="shared" si="0"/>
        <v>60000</v>
      </c>
      <c r="M15" s="63">
        <f t="shared" si="1"/>
        <v>1800</v>
      </c>
      <c r="N15" s="63">
        <f t="shared" si="2"/>
        <v>0</v>
      </c>
      <c r="O15" s="63">
        <f>+VLOOKUP(B15,TDS!$B$9:$E$18,4,0)</f>
        <v>1400</v>
      </c>
      <c r="P15" s="63">
        <v>0</v>
      </c>
      <c r="Q15" s="64">
        <f t="shared" si="3"/>
        <v>56800</v>
      </c>
      <c r="S15" s="62">
        <f t="shared" si="4"/>
        <v>1800</v>
      </c>
      <c r="T15" s="63">
        <f t="shared" si="5"/>
        <v>150</v>
      </c>
      <c r="U15" s="63">
        <f t="shared" si="6"/>
        <v>0</v>
      </c>
      <c r="V15" s="63">
        <f t="shared" si="7"/>
        <v>1539.1999999999998</v>
      </c>
      <c r="W15" s="63">
        <f>+VLOOKUP(B15,Bonus!$C$5:$K$14,9,0)</f>
        <v>0</v>
      </c>
      <c r="X15" s="64">
        <f t="shared" si="8"/>
        <v>63489.2</v>
      </c>
      <c r="Z15" s="58"/>
    </row>
  </sheetData>
  <mergeCells count="3">
    <mergeCell ref="A3:E3"/>
    <mergeCell ref="G3:Q3"/>
    <mergeCell ref="S3:X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6457-E410-497D-A6B6-3AA6E0357747}">
  <dimension ref="B3:K23"/>
  <sheetViews>
    <sheetView topLeftCell="A3" zoomScale="140" zoomScaleNormal="140" workbookViewId="0">
      <selection activeCell="K5" sqref="K5"/>
    </sheetView>
  </sheetViews>
  <sheetFormatPr defaultRowHeight="14.4" x14ac:dyDescent="0.3"/>
  <cols>
    <col min="1" max="1" width="3.77734375" customWidth="1"/>
    <col min="2" max="2" width="10.88671875" customWidth="1"/>
    <col min="3" max="3" width="10.33203125" bestFit="1" customWidth="1"/>
    <col min="4" max="4" width="14.5546875" bestFit="1" customWidth="1"/>
    <col min="5" max="5" width="10.33203125" bestFit="1" customWidth="1"/>
    <col min="6" max="6" width="11" bestFit="1" customWidth="1"/>
    <col min="7" max="7" width="13.109375" bestFit="1" customWidth="1"/>
    <col min="8" max="8" width="12.33203125" bestFit="1" customWidth="1"/>
    <col min="9" max="9" width="15.5546875" bestFit="1" customWidth="1"/>
    <col min="10" max="10" width="11.33203125" bestFit="1" customWidth="1"/>
    <col min="11" max="11" width="13.5546875" bestFit="1" customWidth="1"/>
  </cols>
  <sheetData>
    <row r="3" spans="2:11" ht="15" thickBot="1" x14ac:dyDescent="0.35"/>
    <row r="4" spans="2:11" ht="28.8" x14ac:dyDescent="0.3">
      <c r="B4" s="31" t="s">
        <v>3</v>
      </c>
      <c r="C4" s="32" t="s">
        <v>4</v>
      </c>
      <c r="D4" s="32" t="s">
        <v>5</v>
      </c>
      <c r="E4" s="32" t="s">
        <v>65</v>
      </c>
      <c r="F4" s="32" t="s">
        <v>66</v>
      </c>
      <c r="G4" s="32" t="s">
        <v>67</v>
      </c>
      <c r="H4" s="32" t="s">
        <v>68</v>
      </c>
      <c r="I4" s="32" t="s">
        <v>69</v>
      </c>
      <c r="J4" s="32" t="s">
        <v>70</v>
      </c>
      <c r="K4" s="33" t="s">
        <v>71</v>
      </c>
    </row>
    <row r="5" spans="2:11" x14ac:dyDescent="0.3">
      <c r="B5" s="34">
        <v>1</v>
      </c>
      <c r="C5" s="28" t="s">
        <v>29</v>
      </c>
      <c r="D5" s="28" t="s">
        <v>30</v>
      </c>
      <c r="E5" s="35" t="s">
        <v>72</v>
      </c>
      <c r="F5" s="28" t="s">
        <v>73</v>
      </c>
      <c r="G5" s="36">
        <f>+VLOOKUP(C5,'Computation Sheet'!B5:L15,11,0)</f>
        <v>21404</v>
      </c>
      <c r="H5" s="35" t="str">
        <f>IF(G5&lt;=21000,"Yes","No")</f>
        <v>No</v>
      </c>
      <c r="I5" s="36">
        <f>VLOOKUP(F5,$B$18:$H$23,7,0)/'Computation Sheet'!D6*'Computation Sheet'!E6</f>
        <v>14806</v>
      </c>
      <c r="J5" s="36">
        <v>7000</v>
      </c>
      <c r="K5" s="37">
        <f>IF(H5="Yes",MAX(I5,J5)*8.33%,0)</f>
        <v>0</v>
      </c>
    </row>
    <row r="6" spans="2:11" x14ac:dyDescent="0.3">
      <c r="B6" s="34">
        <v>2</v>
      </c>
      <c r="C6" s="28" t="s">
        <v>33</v>
      </c>
      <c r="D6" s="28" t="s">
        <v>34</v>
      </c>
      <c r="E6" s="35" t="s">
        <v>72</v>
      </c>
      <c r="F6" s="28" t="s">
        <v>73</v>
      </c>
      <c r="G6" s="36">
        <f>+VLOOKUP(C6,'Computation Sheet'!B6:L16,11,0)</f>
        <v>31133</v>
      </c>
      <c r="H6" s="35" t="str">
        <f t="shared" ref="H6:H14" si="0">IF(G6&lt;=21000,"Yes","No")</f>
        <v>No</v>
      </c>
      <c r="I6" s="36">
        <f>VLOOKUP(F6,$B$18:$H$23,7,0)/'Computation Sheet'!D7*'Computation Sheet'!E7</f>
        <v>14806</v>
      </c>
      <c r="J6" s="36">
        <v>7000</v>
      </c>
      <c r="K6" s="37">
        <f t="shared" ref="K6:K14" si="1">IF(H6="Yes",MAX(I6,J6)*8.33%,0)</f>
        <v>0</v>
      </c>
    </row>
    <row r="7" spans="2:11" x14ac:dyDescent="0.3">
      <c r="B7" s="34">
        <v>3</v>
      </c>
      <c r="C7" s="28" t="s">
        <v>35</v>
      </c>
      <c r="D7" s="28" t="s">
        <v>36</v>
      </c>
      <c r="E7" s="35" t="s">
        <v>72</v>
      </c>
      <c r="F7" s="28" t="s">
        <v>73</v>
      </c>
      <c r="G7" s="36">
        <f>+VLOOKUP(C7,'Computation Sheet'!B7:L17,11,0)</f>
        <v>174075</v>
      </c>
      <c r="H7" s="35" t="str">
        <f t="shared" si="0"/>
        <v>No</v>
      </c>
      <c r="I7" s="36">
        <f>VLOOKUP(F7,$B$18:$H$23,7,0)/'Computation Sheet'!D8*'Computation Sheet'!E8</f>
        <v>14806</v>
      </c>
      <c r="J7" s="36">
        <v>7000</v>
      </c>
      <c r="K7" s="37">
        <f t="shared" si="1"/>
        <v>0</v>
      </c>
    </row>
    <row r="8" spans="2:11" x14ac:dyDescent="0.3">
      <c r="B8" s="34">
        <v>4</v>
      </c>
      <c r="C8" s="28" t="s">
        <v>38</v>
      </c>
      <c r="D8" s="28" t="s">
        <v>39</v>
      </c>
      <c r="E8" s="35" t="s">
        <v>72</v>
      </c>
      <c r="F8" s="28" t="s">
        <v>74</v>
      </c>
      <c r="G8" s="36">
        <f>+VLOOKUP(C8,'Computation Sheet'!B8:L18,11,0)</f>
        <v>19784</v>
      </c>
      <c r="H8" s="35" t="str">
        <f t="shared" si="0"/>
        <v>Yes</v>
      </c>
      <c r="I8" s="36">
        <f>VLOOKUP(F8,$B$18:$H$23,7,0)/'Computation Sheet'!D9*'Computation Sheet'!E9</f>
        <v>17924</v>
      </c>
      <c r="J8" s="36">
        <v>7000</v>
      </c>
      <c r="K8" s="37">
        <f t="shared" si="1"/>
        <v>1493.0691999999999</v>
      </c>
    </row>
    <row r="9" spans="2:11" x14ac:dyDescent="0.3">
      <c r="B9" s="34">
        <v>5</v>
      </c>
      <c r="C9" s="28" t="s">
        <v>40</v>
      </c>
      <c r="D9" s="28" t="s">
        <v>41</v>
      </c>
      <c r="E9" s="35" t="s">
        <v>72</v>
      </c>
      <c r="F9" s="28" t="s">
        <v>75</v>
      </c>
      <c r="G9" s="36">
        <f>+VLOOKUP(C9,'Computation Sheet'!B9:L19,11,0)</f>
        <v>19784</v>
      </c>
      <c r="H9" s="35" t="str">
        <f t="shared" si="0"/>
        <v>Yes</v>
      </c>
      <c r="I9" s="36">
        <f>VLOOKUP(F9,$B$18:$H$23,7,0)/'Computation Sheet'!D10*'Computation Sheet'!E10</f>
        <v>16283.999999999998</v>
      </c>
      <c r="J9" s="36">
        <v>7000</v>
      </c>
      <c r="K9" s="37">
        <f t="shared" si="1"/>
        <v>1356.4571999999998</v>
      </c>
    </row>
    <row r="10" spans="2:11" x14ac:dyDescent="0.3">
      <c r="B10" s="34">
        <v>6</v>
      </c>
      <c r="C10" s="28" t="s">
        <v>42</v>
      </c>
      <c r="D10" s="28" t="s">
        <v>43</v>
      </c>
      <c r="E10" s="35" t="s">
        <v>72</v>
      </c>
      <c r="F10" s="28" t="s">
        <v>73</v>
      </c>
      <c r="G10" s="36">
        <f>+VLOOKUP(C10,'Computation Sheet'!B10:L20,11,0)</f>
        <v>19784</v>
      </c>
      <c r="H10" s="35" t="str">
        <f t="shared" si="0"/>
        <v>Yes</v>
      </c>
      <c r="I10" s="36">
        <f>VLOOKUP(F10,$B$18:$H$23,7,0)/'Computation Sheet'!D11*'Computation Sheet'!E11</f>
        <v>14806</v>
      </c>
      <c r="J10" s="36">
        <v>7000</v>
      </c>
      <c r="K10" s="37">
        <f t="shared" si="1"/>
        <v>1233.3398</v>
      </c>
    </row>
    <row r="11" spans="2:11" x14ac:dyDescent="0.3">
      <c r="B11" s="34">
        <v>7</v>
      </c>
      <c r="C11" s="28" t="s">
        <v>44</v>
      </c>
      <c r="D11" s="28" t="s">
        <v>45</v>
      </c>
      <c r="E11" s="35" t="s">
        <v>72</v>
      </c>
      <c r="F11" s="28" t="s">
        <v>75</v>
      </c>
      <c r="G11" s="36">
        <f>+VLOOKUP(C11,'Computation Sheet'!B11:L21,11,0)</f>
        <v>53429</v>
      </c>
      <c r="H11" s="35" t="str">
        <f t="shared" si="0"/>
        <v>No</v>
      </c>
      <c r="I11" s="36">
        <f>VLOOKUP(F11,$B$18:$H$23,7,0)/'Computation Sheet'!D12*'Computation Sheet'!E12</f>
        <v>16283.999999999998</v>
      </c>
      <c r="J11" s="36">
        <v>7000</v>
      </c>
      <c r="K11" s="37">
        <f t="shared" si="1"/>
        <v>0</v>
      </c>
    </row>
    <row r="12" spans="2:11" x14ac:dyDescent="0.3">
      <c r="B12" s="34">
        <v>8</v>
      </c>
      <c r="C12" s="28" t="s">
        <v>46</v>
      </c>
      <c r="D12" s="28" t="s">
        <v>47</v>
      </c>
      <c r="E12" s="35" t="s">
        <v>72</v>
      </c>
      <c r="F12" s="28" t="s">
        <v>73</v>
      </c>
      <c r="G12" s="36">
        <f>+VLOOKUP(C12,'Computation Sheet'!B12:L22,11,0)</f>
        <v>46720</v>
      </c>
      <c r="H12" s="35" t="str">
        <f t="shared" si="0"/>
        <v>No</v>
      </c>
      <c r="I12" s="36">
        <f>VLOOKUP(F12,$B$18:$H$23,7,0)/'Computation Sheet'!D13*'Computation Sheet'!E13</f>
        <v>14806</v>
      </c>
      <c r="J12" s="36">
        <v>7000</v>
      </c>
      <c r="K12" s="37">
        <f t="shared" si="1"/>
        <v>0</v>
      </c>
    </row>
    <row r="13" spans="2:11" x14ac:dyDescent="0.3">
      <c r="B13" s="34">
        <v>9</v>
      </c>
      <c r="C13" s="28" t="s">
        <v>48</v>
      </c>
      <c r="D13" s="28" t="s">
        <v>49</v>
      </c>
      <c r="E13" s="35" t="s">
        <v>72</v>
      </c>
      <c r="F13" s="28" t="s">
        <v>73</v>
      </c>
      <c r="G13" s="36">
        <f>+VLOOKUP(C13,'Computation Sheet'!B13:L23,11,0)</f>
        <v>54087</v>
      </c>
      <c r="H13" s="35" t="str">
        <f t="shared" si="0"/>
        <v>No</v>
      </c>
      <c r="I13" s="36">
        <f>VLOOKUP(F13,$B$18:$H$23,7,0)/'Computation Sheet'!D14*'Computation Sheet'!E14</f>
        <v>14806</v>
      </c>
      <c r="J13" s="36">
        <v>7000</v>
      </c>
      <c r="K13" s="37">
        <f t="shared" si="1"/>
        <v>0</v>
      </c>
    </row>
    <row r="14" spans="2:11" ht="15" thickBot="1" x14ac:dyDescent="0.35">
      <c r="B14" s="38">
        <v>10</v>
      </c>
      <c r="C14" s="39" t="s">
        <v>50</v>
      </c>
      <c r="D14" s="39" t="s">
        <v>51</v>
      </c>
      <c r="E14" s="40" t="s">
        <v>72</v>
      </c>
      <c r="F14" s="39" t="s">
        <v>73</v>
      </c>
      <c r="G14" s="36">
        <f>+VLOOKUP(C14,'Computation Sheet'!B14:L24,11,0)</f>
        <v>60000</v>
      </c>
      <c r="H14" s="35" t="str">
        <f t="shared" si="0"/>
        <v>No</v>
      </c>
      <c r="I14" s="36">
        <f>VLOOKUP(F14,$B$18:$H$23,7,0)/'Computation Sheet'!D15*'Computation Sheet'!E15</f>
        <v>14806</v>
      </c>
      <c r="J14" s="36">
        <v>7000</v>
      </c>
      <c r="K14" s="37">
        <f t="shared" si="1"/>
        <v>0</v>
      </c>
    </row>
    <row r="16" spans="2:11" ht="15" thickBot="1" x14ac:dyDescent="0.35"/>
    <row r="17" spans="2:9" ht="22.8" x14ac:dyDescent="0.3">
      <c r="B17" s="41" t="s">
        <v>66</v>
      </c>
      <c r="C17" s="42"/>
      <c r="D17" s="42"/>
      <c r="E17" s="42"/>
      <c r="F17" s="43" t="s">
        <v>76</v>
      </c>
      <c r="G17" s="43" t="s">
        <v>77</v>
      </c>
      <c r="H17" s="43" t="s">
        <v>78</v>
      </c>
      <c r="I17" s="44" t="s">
        <v>79</v>
      </c>
    </row>
    <row r="18" spans="2:9" x14ac:dyDescent="0.3">
      <c r="B18" s="45" t="s">
        <v>73</v>
      </c>
      <c r="C18" s="46"/>
      <c r="D18" s="46"/>
      <c r="E18" s="46"/>
      <c r="F18" s="47">
        <v>14468</v>
      </c>
      <c r="G18" s="47">
        <v>338</v>
      </c>
      <c r="H18" s="47">
        <v>14806</v>
      </c>
      <c r="I18" s="48">
        <v>569</v>
      </c>
    </row>
    <row r="19" spans="2:9" x14ac:dyDescent="0.3">
      <c r="B19" s="45" t="s">
        <v>80</v>
      </c>
      <c r="C19" s="46"/>
      <c r="D19" s="46"/>
      <c r="E19" s="46"/>
      <c r="F19" s="47">
        <v>15920</v>
      </c>
      <c r="G19" s="47">
        <v>364</v>
      </c>
      <c r="H19" s="47">
        <v>16284</v>
      </c>
      <c r="I19" s="48">
        <v>626</v>
      </c>
    </row>
    <row r="20" spans="2:9" x14ac:dyDescent="0.3">
      <c r="B20" s="45" t="s">
        <v>74</v>
      </c>
      <c r="C20" s="46"/>
      <c r="D20" s="46"/>
      <c r="E20" s="46"/>
      <c r="F20" s="47">
        <v>17508</v>
      </c>
      <c r="G20" s="47">
        <v>416</v>
      </c>
      <c r="H20" s="47">
        <v>17924</v>
      </c>
      <c r="I20" s="48">
        <v>689</v>
      </c>
    </row>
    <row r="21" spans="2:9" ht="15" customHeight="1" x14ac:dyDescent="0.3">
      <c r="B21" s="45" t="s">
        <v>81</v>
      </c>
      <c r="C21" s="46"/>
      <c r="D21" s="46"/>
      <c r="E21" s="46"/>
      <c r="F21" s="47">
        <v>15920</v>
      </c>
      <c r="G21" s="47">
        <v>364</v>
      </c>
      <c r="H21" s="47">
        <v>16284</v>
      </c>
      <c r="I21" s="48">
        <v>626</v>
      </c>
    </row>
    <row r="22" spans="2:9" ht="15" customHeight="1" x14ac:dyDescent="0.3">
      <c r="B22" s="45" t="s">
        <v>82</v>
      </c>
      <c r="C22" s="46"/>
      <c r="D22" s="46"/>
      <c r="E22" s="46"/>
      <c r="F22" s="47">
        <v>17508</v>
      </c>
      <c r="G22" s="47">
        <v>416</v>
      </c>
      <c r="H22" s="47">
        <v>17924</v>
      </c>
      <c r="I22" s="48">
        <v>689</v>
      </c>
    </row>
    <row r="23" spans="2:9" ht="15" thickBot="1" x14ac:dyDescent="0.35">
      <c r="B23" s="49" t="s">
        <v>83</v>
      </c>
      <c r="C23" s="50"/>
      <c r="D23" s="50"/>
      <c r="E23" s="50"/>
      <c r="F23" s="51">
        <v>19060</v>
      </c>
      <c r="G23" s="51">
        <v>462</v>
      </c>
      <c r="H23" s="51">
        <v>19522</v>
      </c>
      <c r="I23" s="52">
        <v>751</v>
      </c>
    </row>
  </sheetData>
  <mergeCells count="7">
    <mergeCell ref="B23:E23"/>
    <mergeCell ref="B17:E17"/>
    <mergeCell ref="B18:E18"/>
    <mergeCell ref="B19:E19"/>
    <mergeCell ref="B20:E20"/>
    <mergeCell ref="B21:E21"/>
    <mergeCell ref="B22:E2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0190-6813-49B4-8230-AEADEC16C2E4}">
  <dimension ref="B4:E18"/>
  <sheetViews>
    <sheetView workbookViewId="0">
      <selection activeCell="F20" sqref="F20"/>
    </sheetView>
  </sheetViews>
  <sheetFormatPr defaultRowHeight="14.4" x14ac:dyDescent="0.3"/>
  <cols>
    <col min="1" max="1" width="8.88671875" style="21"/>
    <col min="2" max="2" width="8.6640625" style="21" bestFit="1" customWidth="1"/>
    <col min="3" max="3" width="16.21875" style="21" bestFit="1" customWidth="1"/>
    <col min="4" max="4" width="18.44140625" style="21" bestFit="1" customWidth="1"/>
    <col min="5" max="5" width="10.21875" style="21" bestFit="1" customWidth="1"/>
    <col min="6" max="16384" width="8.88671875" style="21"/>
  </cols>
  <sheetData>
    <row r="4" spans="2:5" ht="15" thickBot="1" x14ac:dyDescent="0.35"/>
    <row r="5" spans="2:5" ht="19.8" x14ac:dyDescent="0.5">
      <c r="B5" s="22" t="s">
        <v>52</v>
      </c>
      <c r="C5" s="23"/>
      <c r="D5" s="23"/>
    </row>
    <row r="6" spans="2:5" ht="33" customHeight="1" x14ac:dyDescent="0.3">
      <c r="B6" s="24" t="s">
        <v>53</v>
      </c>
      <c r="C6" s="25" t="s">
        <v>54</v>
      </c>
      <c r="D6" s="25" t="s">
        <v>5</v>
      </c>
      <c r="E6" s="25" t="s">
        <v>16</v>
      </c>
    </row>
    <row r="7" spans="2:5" x14ac:dyDescent="0.3">
      <c r="B7" s="24"/>
      <c r="C7" s="25"/>
      <c r="D7" s="25"/>
      <c r="E7" s="25"/>
    </row>
    <row r="8" spans="2:5" ht="27" customHeight="1" x14ac:dyDescent="0.3">
      <c r="B8" s="26"/>
      <c r="C8" s="27"/>
      <c r="D8" s="27"/>
      <c r="E8" s="27"/>
    </row>
    <row r="9" spans="2:5" x14ac:dyDescent="0.3">
      <c r="B9" s="28" t="s">
        <v>29</v>
      </c>
      <c r="C9" s="29" t="s">
        <v>55</v>
      </c>
      <c r="D9" s="28" t="s">
        <v>30</v>
      </c>
      <c r="E9" s="30">
        <v>0</v>
      </c>
    </row>
    <row r="10" spans="2:5" x14ac:dyDescent="0.3">
      <c r="B10" s="28" t="s">
        <v>33</v>
      </c>
      <c r="C10" s="29" t="s">
        <v>56</v>
      </c>
      <c r="D10" s="28" t="s">
        <v>34</v>
      </c>
      <c r="E10" s="30">
        <v>0</v>
      </c>
    </row>
    <row r="11" spans="2:5" x14ac:dyDescent="0.3">
      <c r="B11" s="28" t="s">
        <v>35</v>
      </c>
      <c r="C11" s="29" t="s">
        <v>57</v>
      </c>
      <c r="D11" s="28" t="s">
        <v>36</v>
      </c>
      <c r="E11" s="30">
        <v>1800</v>
      </c>
    </row>
    <row r="12" spans="2:5" x14ac:dyDescent="0.3">
      <c r="B12" s="28" t="s">
        <v>38</v>
      </c>
      <c r="C12" s="29" t="s">
        <v>58</v>
      </c>
      <c r="D12" s="28" t="s">
        <v>39</v>
      </c>
      <c r="E12" s="30">
        <v>0</v>
      </c>
    </row>
    <row r="13" spans="2:5" x14ac:dyDescent="0.3">
      <c r="B13" s="28" t="s">
        <v>40</v>
      </c>
      <c r="C13" s="29" t="s">
        <v>59</v>
      </c>
      <c r="D13" s="28" t="s">
        <v>41</v>
      </c>
      <c r="E13" s="30">
        <v>0</v>
      </c>
    </row>
    <row r="14" spans="2:5" x14ac:dyDescent="0.3">
      <c r="B14" s="28" t="s">
        <v>42</v>
      </c>
      <c r="C14" s="29" t="s">
        <v>60</v>
      </c>
      <c r="D14" s="28" t="s">
        <v>43</v>
      </c>
      <c r="E14" s="30">
        <v>0</v>
      </c>
    </row>
    <row r="15" spans="2:5" x14ac:dyDescent="0.3">
      <c r="B15" s="28" t="s">
        <v>44</v>
      </c>
      <c r="C15" s="29" t="s">
        <v>61</v>
      </c>
      <c r="D15" s="28" t="s">
        <v>45</v>
      </c>
      <c r="E15" s="30">
        <v>1200</v>
      </c>
    </row>
    <row r="16" spans="2:5" x14ac:dyDescent="0.3">
      <c r="B16" s="28" t="s">
        <v>46</v>
      </c>
      <c r="C16" s="29" t="s">
        <v>62</v>
      </c>
      <c r="D16" s="28" t="s">
        <v>47</v>
      </c>
      <c r="E16" s="30">
        <v>600</v>
      </c>
    </row>
    <row r="17" spans="2:5" x14ac:dyDescent="0.3">
      <c r="B17" s="28" t="s">
        <v>48</v>
      </c>
      <c r="C17" s="29" t="s">
        <v>63</v>
      </c>
      <c r="D17" s="28" t="s">
        <v>49</v>
      </c>
      <c r="E17" s="30">
        <v>1250</v>
      </c>
    </row>
    <row r="18" spans="2:5" x14ac:dyDescent="0.3">
      <c r="B18" s="28" t="s">
        <v>50</v>
      </c>
      <c r="C18" s="29" t="s">
        <v>64</v>
      </c>
      <c r="D18" s="28" t="s">
        <v>51</v>
      </c>
      <c r="E18" s="30">
        <v>1400</v>
      </c>
    </row>
  </sheetData>
  <mergeCells count="5">
    <mergeCell ref="B5:D5"/>
    <mergeCell ref="B6:B8"/>
    <mergeCell ref="C6:C8"/>
    <mergeCell ref="D6:D8"/>
    <mergeCell ref="E6:E8"/>
  </mergeCells>
  <dataValidations count="4">
    <dataValidation allowBlank="1" showInputMessage="1" showErrorMessage="1" promptTitle="Enter Employee Code" prompt="Please enter E Code or Serial Number if E Code not avilable_x000a__x000a_FinTaxPro" sqref="B9:B18" xr:uid="{BFD20B5A-8403-40B3-809E-DC58D3079F76}"/>
    <dataValidation allowBlank="1" showInputMessage="1" showErrorMessage="1" promptTitle="PAN of employee" prompt="Please mention PAN number of employee, Make sure to enter correct PAN details._x000a__x000a_FinTaxPro" sqref="C9:C18" xr:uid="{B60B7B9D-2A00-4707-BD2C-DA52F5BB421D}"/>
    <dataValidation allowBlank="1" showInputMessage="1" showErrorMessage="1" promptTitle="Name of Employee" prompt="Please Mention Name of Employee" sqref="D10:D18" xr:uid="{7A5B44CC-D44F-415F-A257-0556594C444E}"/>
    <dataValidation allowBlank="1" showInputMessage="1" showErrorMessage="1" promptTitle="Name of Employee" prompt="Please Mention Name of Employee_x000a__x000a_FinTaxPro" sqref="D9" xr:uid="{A56AEF45-AC22-4A5B-A2D7-35E7F6A1D19C}"/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2AA9-2A60-4BB7-9EC0-E384D72DFDC5}">
  <dimension ref="A1:J12"/>
  <sheetViews>
    <sheetView zoomScale="160" zoomScaleNormal="160" workbookViewId="0">
      <selection activeCell="B3" sqref="B3:C12"/>
    </sheetView>
  </sheetViews>
  <sheetFormatPr defaultRowHeight="14.4" x14ac:dyDescent="0.3"/>
  <cols>
    <col min="1" max="1" width="5.21875" bestFit="1" customWidth="1"/>
    <col min="2" max="2" width="7.21875" bestFit="1" customWidth="1"/>
    <col min="3" max="3" width="14" bestFit="1" customWidth="1"/>
    <col min="4" max="6" width="11.33203125" bestFit="1" customWidth="1"/>
    <col min="7" max="7" width="13.109375" bestFit="1" customWidth="1"/>
    <col min="8" max="8" width="10.77734375" bestFit="1" customWidth="1"/>
    <col min="9" max="9" width="7.77734375" bestFit="1" customWidth="1"/>
    <col min="10" max="10" width="8.5546875" bestFit="1" customWidth="1"/>
  </cols>
  <sheetData>
    <row r="1" spans="1:10" ht="15" thickBot="1" x14ac:dyDescent="0.35"/>
    <row r="2" spans="1:10" ht="41.4" x14ac:dyDescent="0.3">
      <c r="A2" s="3" t="s">
        <v>3</v>
      </c>
      <c r="B2" s="4" t="s">
        <v>4</v>
      </c>
      <c r="C2" s="4" t="s">
        <v>5</v>
      </c>
      <c r="D2" s="4" t="s">
        <v>8</v>
      </c>
      <c r="E2" s="5" t="s">
        <v>9</v>
      </c>
      <c r="F2" s="5" t="s">
        <v>10</v>
      </c>
      <c r="G2" s="5" t="s">
        <v>26</v>
      </c>
      <c r="H2" s="5" t="s">
        <v>27</v>
      </c>
      <c r="I2" s="5" t="s">
        <v>28</v>
      </c>
      <c r="J2" s="6" t="s">
        <v>25</v>
      </c>
    </row>
    <row r="3" spans="1:10" x14ac:dyDescent="0.3">
      <c r="A3" s="7">
        <v>1</v>
      </c>
      <c r="B3" s="8" t="s">
        <v>29</v>
      </c>
      <c r="C3" s="8" t="s">
        <v>30</v>
      </c>
      <c r="D3" s="9">
        <v>14300</v>
      </c>
      <c r="E3" s="9">
        <v>7104</v>
      </c>
      <c r="F3" s="9">
        <v>0</v>
      </c>
      <c r="G3" s="10">
        <f t="shared" ref="G3:G12" si="0">ROUND(SUM(D3:F3),0)</f>
        <v>21404</v>
      </c>
      <c r="H3" s="11" t="s">
        <v>31</v>
      </c>
      <c r="I3" s="11" t="s">
        <v>32</v>
      </c>
      <c r="J3" s="12"/>
    </row>
    <row r="4" spans="1:10" x14ac:dyDescent="0.3">
      <c r="A4" s="7">
        <v>2</v>
      </c>
      <c r="B4" s="8" t="s">
        <v>33</v>
      </c>
      <c r="C4" s="8" t="s">
        <v>34</v>
      </c>
      <c r="D4" s="9">
        <v>17000</v>
      </c>
      <c r="E4" s="9">
        <v>8500</v>
      </c>
      <c r="F4" s="9">
        <v>5633</v>
      </c>
      <c r="G4" s="10">
        <f t="shared" si="0"/>
        <v>31133</v>
      </c>
      <c r="H4" s="11" t="s">
        <v>31</v>
      </c>
      <c r="I4" s="11" t="s">
        <v>32</v>
      </c>
      <c r="J4" s="12"/>
    </row>
    <row r="5" spans="1:10" x14ac:dyDescent="0.3">
      <c r="A5" s="7">
        <v>3</v>
      </c>
      <c r="B5" s="8" t="s">
        <v>35</v>
      </c>
      <c r="C5" s="8" t="s">
        <v>36</v>
      </c>
      <c r="D5" s="9">
        <v>80000</v>
      </c>
      <c r="E5" s="9">
        <v>37000</v>
      </c>
      <c r="F5" s="9">
        <v>57075</v>
      </c>
      <c r="G5" s="10">
        <f t="shared" si="0"/>
        <v>174075</v>
      </c>
      <c r="H5" s="11" t="s">
        <v>37</v>
      </c>
      <c r="I5" s="13">
        <v>0.1</v>
      </c>
      <c r="J5" s="12"/>
    </row>
    <row r="6" spans="1:10" x14ac:dyDescent="0.3">
      <c r="A6" s="7">
        <v>4</v>
      </c>
      <c r="B6" s="8" t="s">
        <v>38</v>
      </c>
      <c r="C6" s="8" t="s">
        <v>39</v>
      </c>
      <c r="D6" s="9">
        <v>13500</v>
      </c>
      <c r="E6" s="9">
        <v>6284</v>
      </c>
      <c r="F6" s="9">
        <v>0</v>
      </c>
      <c r="G6" s="10">
        <f t="shared" si="0"/>
        <v>19784</v>
      </c>
      <c r="H6" s="11" t="s">
        <v>31</v>
      </c>
      <c r="I6" s="11" t="s">
        <v>32</v>
      </c>
      <c r="J6" s="12"/>
    </row>
    <row r="7" spans="1:10" x14ac:dyDescent="0.3">
      <c r="A7" s="7">
        <v>5</v>
      </c>
      <c r="B7" s="8" t="s">
        <v>40</v>
      </c>
      <c r="C7" s="8" t="s">
        <v>41</v>
      </c>
      <c r="D7" s="9">
        <v>13500</v>
      </c>
      <c r="E7" s="9">
        <v>6284</v>
      </c>
      <c r="F7" s="9">
        <v>0</v>
      </c>
      <c r="G7" s="10">
        <f t="shared" si="0"/>
        <v>19784</v>
      </c>
      <c r="H7" s="11" t="s">
        <v>31</v>
      </c>
      <c r="I7" s="11" t="s">
        <v>32</v>
      </c>
      <c r="J7" s="12"/>
    </row>
    <row r="8" spans="1:10" x14ac:dyDescent="0.3">
      <c r="A8" s="7">
        <v>6</v>
      </c>
      <c r="B8" s="8" t="s">
        <v>42</v>
      </c>
      <c r="C8" s="8" t="s">
        <v>43</v>
      </c>
      <c r="D8" s="9">
        <v>13500</v>
      </c>
      <c r="E8" s="9">
        <v>6284</v>
      </c>
      <c r="F8" s="9">
        <v>0</v>
      </c>
      <c r="G8" s="10">
        <f t="shared" si="0"/>
        <v>19784</v>
      </c>
      <c r="H8" s="11" t="s">
        <v>31</v>
      </c>
      <c r="I8" s="11" t="s">
        <v>32</v>
      </c>
      <c r="J8" s="12"/>
    </row>
    <row r="9" spans="1:10" x14ac:dyDescent="0.3">
      <c r="A9" s="7">
        <v>7</v>
      </c>
      <c r="B9" s="8" t="s">
        <v>44</v>
      </c>
      <c r="C9" s="8" t="s">
        <v>45</v>
      </c>
      <c r="D9" s="9">
        <v>25000</v>
      </c>
      <c r="E9" s="9">
        <v>12500</v>
      </c>
      <c r="F9" s="9">
        <v>15929</v>
      </c>
      <c r="G9" s="10">
        <f t="shared" si="0"/>
        <v>53429</v>
      </c>
      <c r="H9" s="11" t="s">
        <v>37</v>
      </c>
      <c r="I9" s="13">
        <v>0.15</v>
      </c>
      <c r="J9" s="12"/>
    </row>
    <row r="10" spans="1:10" x14ac:dyDescent="0.3">
      <c r="A10" s="7">
        <v>8</v>
      </c>
      <c r="B10" s="8" t="s">
        <v>46</v>
      </c>
      <c r="C10" s="8" t="s">
        <v>47</v>
      </c>
      <c r="D10" s="9">
        <v>26000</v>
      </c>
      <c r="E10" s="9">
        <v>13000</v>
      </c>
      <c r="F10" s="9">
        <v>7720</v>
      </c>
      <c r="G10" s="10">
        <f t="shared" si="0"/>
        <v>46720</v>
      </c>
      <c r="H10" s="11" t="s">
        <v>31</v>
      </c>
      <c r="I10" s="11" t="s">
        <v>32</v>
      </c>
      <c r="J10" s="12"/>
    </row>
    <row r="11" spans="1:10" x14ac:dyDescent="0.3">
      <c r="A11" s="7">
        <v>9</v>
      </c>
      <c r="B11" s="8" t="s">
        <v>48</v>
      </c>
      <c r="C11" s="8" t="s">
        <v>49</v>
      </c>
      <c r="D11" s="9">
        <v>35000</v>
      </c>
      <c r="E11" s="9">
        <v>17500</v>
      </c>
      <c r="F11" s="9">
        <v>1587</v>
      </c>
      <c r="G11" s="10">
        <f t="shared" si="0"/>
        <v>54087</v>
      </c>
      <c r="H11" s="11" t="s">
        <v>31</v>
      </c>
      <c r="I11" s="11" t="s">
        <v>32</v>
      </c>
      <c r="J11" s="12"/>
    </row>
    <row r="12" spans="1:10" ht="15" thickBot="1" x14ac:dyDescent="0.35">
      <c r="A12" s="14">
        <v>10</v>
      </c>
      <c r="B12" s="15" t="s">
        <v>50</v>
      </c>
      <c r="C12" s="15" t="s">
        <v>51</v>
      </c>
      <c r="D12" s="16">
        <v>32000</v>
      </c>
      <c r="E12" s="16">
        <v>16000</v>
      </c>
      <c r="F12" s="16">
        <v>12000</v>
      </c>
      <c r="G12" s="17">
        <f t="shared" si="0"/>
        <v>60000</v>
      </c>
      <c r="H12" s="18" t="s">
        <v>31</v>
      </c>
      <c r="I12" s="18" t="s">
        <v>32</v>
      </c>
      <c r="J12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 Sheet</vt:lpstr>
      <vt:lpstr>Bonus</vt:lpstr>
      <vt:lpstr>TDS</vt:lpstr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Awasthi</dc:creator>
  <cp:lastModifiedBy>Awasthi</cp:lastModifiedBy>
  <dcterms:created xsi:type="dcterms:W3CDTF">2021-02-04T08:29:53Z</dcterms:created>
  <dcterms:modified xsi:type="dcterms:W3CDTF">2021-02-04T09:35:18Z</dcterms:modified>
</cp:coreProperties>
</file>