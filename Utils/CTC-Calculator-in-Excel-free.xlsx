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DD0CA72-A330-4CA4-893F-2AB0EC10D7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TC Calculator" sheetId="1" r:id="rId1"/>
    <sheet name="Useful Link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4" i="1" s="1"/>
  <c r="K12" i="1"/>
  <c r="E12" i="1"/>
  <c r="C10" i="1" l="1"/>
  <c r="E10" i="1" l="1"/>
  <c r="K14" i="1"/>
  <c r="K10" i="1"/>
  <c r="I11" i="1"/>
  <c r="C14" i="1"/>
  <c r="E14" i="1" s="1"/>
  <c r="C11" i="1"/>
  <c r="E11" i="1" s="1"/>
  <c r="C13" i="1" l="1"/>
  <c r="C15" i="1" s="1"/>
  <c r="I13" i="1"/>
  <c r="K13" i="1" s="1"/>
  <c r="K11" i="1"/>
  <c r="I17" i="1"/>
  <c r="K17" i="1" s="1"/>
  <c r="I18" i="1"/>
  <c r="K18" i="1" s="1"/>
  <c r="C18" i="1"/>
  <c r="E18" i="1" s="1"/>
  <c r="C17" i="1"/>
  <c r="E17" i="1" s="1"/>
  <c r="J13" i="1" l="1"/>
  <c r="I15" i="1"/>
  <c r="K15" i="1" s="1"/>
  <c r="E15" i="1"/>
  <c r="E13" i="1"/>
  <c r="D13" i="1"/>
  <c r="I19" i="1" l="1"/>
  <c r="I20" i="1" s="1"/>
  <c r="K20" i="1" s="1"/>
  <c r="C19" i="1"/>
  <c r="E19" i="1" s="1"/>
  <c r="C20" i="1" l="1"/>
  <c r="E20" i="1" s="1"/>
  <c r="K19" i="1"/>
</calcChain>
</file>

<file path=xl/sharedStrings.xml><?xml version="1.0" encoding="utf-8"?>
<sst xmlns="http://schemas.openxmlformats.org/spreadsheetml/2006/main" count="87" uniqueCount="71">
  <si>
    <t>Basic</t>
  </si>
  <si>
    <t>HRA</t>
  </si>
  <si>
    <t>Conveyance</t>
  </si>
  <si>
    <t>PF Employer</t>
  </si>
  <si>
    <t>CTC</t>
  </si>
  <si>
    <t>Less: Deductions</t>
  </si>
  <si>
    <t>PF Employee</t>
  </si>
  <si>
    <t>ESIC</t>
  </si>
  <si>
    <t>Net Amount (In Hand)</t>
  </si>
  <si>
    <t>Other Allowances</t>
  </si>
  <si>
    <t>Enter Monthly Salary</t>
  </si>
  <si>
    <t>Particulars</t>
  </si>
  <si>
    <t>Professional CTC Calculator</t>
  </si>
  <si>
    <t>* In Above Chart - No Limit in PF</t>
  </si>
  <si>
    <t xml:space="preserve">* In Above Chart - PF (employer part) is limited to max Rs. 1800/- </t>
  </si>
  <si>
    <t>Download more Tools on www.TechGuruPlus.com</t>
  </si>
  <si>
    <t>Per Month</t>
  </si>
  <si>
    <t>Per Year</t>
  </si>
  <si>
    <t>Download more Templates</t>
  </si>
  <si>
    <t>Marriage Biodata Templates</t>
  </si>
  <si>
    <t>Letterhead Templates</t>
  </si>
  <si>
    <t>Salary Increment Offering Letter</t>
  </si>
  <si>
    <t>Accountant Job Application Letter</t>
  </si>
  <si>
    <t>Job CV / Resume Templates</t>
  </si>
  <si>
    <t>Warranty Certificates</t>
  </si>
  <si>
    <t>Salary Increment Request Letter</t>
  </si>
  <si>
    <t>Warning Letter To Employee For Leave</t>
  </si>
  <si>
    <t>Accountant Resume Templates</t>
  </si>
  <si>
    <t>Experience Certificates</t>
  </si>
  <si>
    <t>Employee Job Joining Letter</t>
  </si>
  <si>
    <t>Termination Letter Formats</t>
  </si>
  <si>
    <t>Fresher Resume Templates</t>
  </si>
  <si>
    <t>Medical Certificates</t>
  </si>
  <si>
    <t>Appointment Letter Format</t>
  </si>
  <si>
    <t>Job Application Cover Letter</t>
  </si>
  <si>
    <t>Accountant's Related</t>
  </si>
  <si>
    <t>Invoice Templates</t>
  </si>
  <si>
    <t>Balance Sheet Templates</t>
  </si>
  <si>
    <t>Bank Statement Request Letter</t>
  </si>
  <si>
    <t>Internship Experience Letter</t>
  </si>
  <si>
    <t>Quotation Templates</t>
  </si>
  <si>
    <t>Profit &amp; Loss Templates</t>
  </si>
  <si>
    <t>NOC Letter Format for Bank</t>
  </si>
  <si>
    <t>Sample Holiday Announcement Emails</t>
  </si>
  <si>
    <t>Proforma Invoice Templates</t>
  </si>
  <si>
    <t>Tally Prime TDL</t>
  </si>
  <si>
    <t>NOC Letter Format for GST Registration</t>
  </si>
  <si>
    <t>Resignation Letter</t>
  </si>
  <si>
    <t>Excel Project Files</t>
  </si>
  <si>
    <t>Tally ERP 9 TDL</t>
  </si>
  <si>
    <t>NOC Letter Format for Visa</t>
  </si>
  <si>
    <t>VBA Codes List</t>
  </si>
  <si>
    <t>Salary Slip Templates</t>
  </si>
  <si>
    <t>NOC Letter Format for Vehicle Transfer</t>
  </si>
  <si>
    <t>Computer Operator Resume</t>
  </si>
  <si>
    <t>CTC Calculator in Excel</t>
  </si>
  <si>
    <t>Productive</t>
  </si>
  <si>
    <t>Convert Number to Word</t>
  </si>
  <si>
    <t>PowerPoint Templates</t>
  </si>
  <si>
    <t>Bank Account Closing Letter</t>
  </si>
  <si>
    <t>Stock Management Software</t>
  </si>
  <si>
    <t>Payment Voucher Templates</t>
  </si>
  <si>
    <t>Bonafide Certificate Application Letter</t>
  </si>
  <si>
    <t>Age Calculator</t>
  </si>
  <si>
    <t>Shortcut keys</t>
  </si>
  <si>
    <t>TC Letter Format Word</t>
  </si>
  <si>
    <t>Cheque Printing Software</t>
  </si>
  <si>
    <t>Undertaking Letter Format</t>
  </si>
  <si>
    <t>Internship Offer Letter Word</t>
  </si>
  <si>
    <t>Loan EMI Calculator</t>
  </si>
  <si>
    <t>Rent Agreement Format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</si>
</sst>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name val="Times New Roman"/>
      <family val="1"/>
    </font>
    <font>
      <sz val="10"/>
      <name val="Calibri "/>
    </font>
    <font>
      <b/>
      <sz val="16"/>
      <color rgb="FFFFFF00"/>
      <name val="Calibri "/>
    </font>
    <font>
      <b/>
      <sz val="10"/>
      <name val="Calibri "/>
    </font>
    <font>
      <u/>
      <sz val="9"/>
      <color theme="10"/>
      <name val="Times New Roman"/>
      <family val="1"/>
    </font>
    <font>
      <sz val="12"/>
      <name val="Calibri "/>
    </font>
    <font>
      <b/>
      <u/>
      <sz val="12"/>
      <color rgb="FF00B050"/>
      <name val="Calibri "/>
    </font>
    <font>
      <b/>
      <sz val="12"/>
      <name val="Calibri "/>
    </font>
    <font>
      <b/>
      <u/>
      <sz val="12"/>
      <color theme="10"/>
      <name val="Calibri "/>
    </font>
    <font>
      <b/>
      <u/>
      <sz val="12"/>
      <color rgb="FFC00000"/>
      <name val="Calibri "/>
    </font>
    <font>
      <b/>
      <u/>
      <sz val="12"/>
      <color theme="4"/>
      <name val="Calibri "/>
    </font>
    <font>
      <b/>
      <sz val="12"/>
      <color rgb="FF00B050"/>
      <name val="Calibri "/>
    </font>
    <font>
      <b/>
      <sz val="12"/>
      <color rgb="FFFFFFFF"/>
      <name val="Calibri "/>
    </font>
    <font>
      <b/>
      <sz val="12"/>
      <color rgb="FFC00000"/>
      <name val="Calibri "/>
    </font>
    <font>
      <b/>
      <sz val="12"/>
      <color theme="4"/>
      <name val="Calibri "/>
    </font>
  </fonts>
  <fills count="5">
    <fill>
      <patternFill patternType="none"/>
    </fill>
    <fill>
      <patternFill patternType="gray125"/>
    </fill>
    <fill>
      <patternFill patternType="solid">
        <fgColor rgb="FFFFFAE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0" fillId="0" borderId="0"/>
    <xf numFmtId="0" fontId="14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/>
    </xf>
    <xf numFmtId="164" fontId="2" fillId="2" borderId="0" xfId="1" applyNumberFormat="1" applyFont="1" applyFill="1"/>
    <xf numFmtId="164" fontId="3" fillId="2" borderId="0" xfId="1" applyNumberFormat="1" applyFont="1" applyFill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4" fillId="3" borderId="0" xfId="0" applyFont="1" applyFill="1"/>
    <xf numFmtId="164" fontId="4" fillId="3" borderId="0" xfId="1" applyNumberFormat="1" applyFont="1" applyFill="1"/>
    <xf numFmtId="0" fontId="5" fillId="2" borderId="1" xfId="0" applyFont="1" applyFill="1" applyBorder="1" applyAlignment="1">
      <alignment vertical="center"/>
    </xf>
    <xf numFmtId="0" fontId="0" fillId="2" borderId="0" xfId="0" applyFill="1"/>
    <xf numFmtId="0" fontId="7" fillId="2" borderId="0" xfId="0" applyFont="1" applyFill="1"/>
    <xf numFmtId="0" fontId="6" fillId="3" borderId="0" xfId="0" applyFont="1" applyFill="1" applyAlignment="1">
      <alignment horizontal="center"/>
    </xf>
    <xf numFmtId="0" fontId="8" fillId="2" borderId="0" xfId="2" applyFill="1" applyAlignment="1">
      <alignment horizontal="right"/>
    </xf>
    <xf numFmtId="0" fontId="11" fillId="0" borderId="0" xfId="5" applyFont="1" applyAlignment="1">
      <alignment horizontal="center"/>
    </xf>
    <xf numFmtId="0" fontId="12" fillId="4" borderId="0" xfId="5" applyFont="1" applyFill="1" applyAlignment="1">
      <alignment horizontal="center" vertical="center"/>
    </xf>
    <xf numFmtId="0" fontId="13" fillId="0" borderId="0" xfId="5" applyFont="1"/>
    <xf numFmtId="0" fontId="13" fillId="0" borderId="0" xfId="5" applyFont="1" applyAlignment="1">
      <alignment horizontal="center"/>
    </xf>
    <xf numFmtId="0" fontId="13" fillId="0" borderId="0" xfId="5" applyFont="1" applyAlignment="1">
      <alignment horizontal="left"/>
    </xf>
    <xf numFmtId="0" fontId="15" fillId="0" borderId="0" xfId="5" applyFont="1" applyAlignment="1">
      <alignment horizontal="center"/>
    </xf>
    <xf numFmtId="0" fontId="16" fillId="0" borderId="0" xfId="6" applyFont="1" applyAlignment="1">
      <alignment horizontal="left" vertical="center"/>
    </xf>
    <xf numFmtId="0" fontId="17" fillId="0" borderId="0" xfId="5" applyFont="1"/>
    <xf numFmtId="0" fontId="18" fillId="0" borderId="0" xfId="6" applyFont="1" applyAlignment="1">
      <alignment horizontal="left" vertical="center"/>
    </xf>
    <xf numFmtId="0" fontId="19" fillId="0" borderId="0" xfId="6" applyFont="1" applyAlignment="1">
      <alignment horizontal="left" vertical="center" indent="1"/>
    </xf>
    <xf numFmtId="0" fontId="20" fillId="0" borderId="0" xfId="6" applyFont="1" applyAlignment="1">
      <alignment horizontal="left" vertical="center" indent="1"/>
    </xf>
    <xf numFmtId="0" fontId="21" fillId="0" borderId="0" xfId="5" applyFont="1" applyAlignment="1">
      <alignment vertical="center"/>
    </xf>
    <xf numFmtId="0" fontId="22" fillId="0" borderId="0" xfId="5" applyFont="1" applyAlignment="1">
      <alignment vertical="center"/>
    </xf>
    <xf numFmtId="0" fontId="23" fillId="0" borderId="0" xfId="5" applyFont="1" applyAlignment="1">
      <alignment horizontal="left"/>
    </xf>
    <xf numFmtId="0" fontId="24" fillId="0" borderId="0" xfId="5" applyFont="1" applyAlignment="1">
      <alignment horizontal="left"/>
    </xf>
    <xf numFmtId="0" fontId="17" fillId="0" borderId="0" xfId="5" applyFont="1" applyAlignment="1">
      <alignment horizontal="left"/>
    </xf>
  </cellXfs>
  <cellStyles count="7">
    <cellStyle name="Comma" xfId="1" builtinId="3"/>
    <cellStyle name="Hyperlink" xfId="2" builtinId="8"/>
    <cellStyle name="Hyperlink 2" xfId="3" xr:uid="{BF0A110D-3642-4259-A97B-7BBB1D2C7CDA}"/>
    <cellStyle name="Hyperlink 3" xfId="6" xr:uid="{EEA9C1C8-D555-4BEB-8E16-D88273B96A67}"/>
    <cellStyle name="Normal" xfId="0" builtinId="0"/>
    <cellStyle name="Normal 2" xfId="4" xr:uid="{5E6343D2-972C-43D1-BC05-AE688F7646F4}"/>
    <cellStyle name="Normal 3" xfId="5" xr:uid="{B88C3C87-D235-4FA5-81EF-55D811C752E4}"/>
  </cellStyles>
  <dxfs count="0"/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echguruplus.com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techguruplus.com/age-calculator-in-excel-xls-file-download/" TargetMode="External"/><Relationship Id="rId18" Type="http://schemas.openxmlformats.org/officeDocument/2006/relationships/hyperlink" Target="https://techguruplus.com/experience-certificate-word-templates/" TargetMode="External"/><Relationship Id="rId26" Type="http://schemas.openxmlformats.org/officeDocument/2006/relationships/hyperlink" Target="https://techguruplus.com/powerpoint-templates-ppt/" TargetMode="External"/><Relationship Id="rId39" Type="http://schemas.openxmlformats.org/officeDocument/2006/relationships/hyperlink" Target="https://techguruplus.com/undertaking-letter-format-download-in-word-docx/" TargetMode="External"/><Relationship Id="rId3" Type="http://schemas.openxmlformats.org/officeDocument/2006/relationships/hyperlink" Target="https://techguruplus.com/accountant-resume-word-docx-download/" TargetMode="External"/><Relationship Id="rId21" Type="http://schemas.openxmlformats.org/officeDocument/2006/relationships/hyperlink" Target="https://techguruplus.com/profit-loss-excel-templates/" TargetMode="External"/><Relationship Id="rId34" Type="http://schemas.openxmlformats.org/officeDocument/2006/relationships/hyperlink" Target="https://techguruplus.com/top-5-bank-statement-request-letter-format-download-in-word-docx/" TargetMode="External"/><Relationship Id="rId42" Type="http://schemas.openxmlformats.org/officeDocument/2006/relationships/hyperlink" Target="https://techguruplus.com/tc-letter-format-to-be-issued-to-student-word/" TargetMode="External"/><Relationship Id="rId47" Type="http://schemas.openxmlformats.org/officeDocument/2006/relationships/hyperlink" Target="https://techguruplus.com/termination-letter-formats-for-absconding-employees-in-word/" TargetMode="External"/><Relationship Id="rId50" Type="http://schemas.openxmlformats.org/officeDocument/2006/relationships/hyperlink" Target="https://techguruplus.com/sample-holiday-announcement-emails-to-employees/" TargetMode="External"/><Relationship Id="rId7" Type="http://schemas.openxmlformats.org/officeDocument/2006/relationships/hyperlink" Target="https://techguruplus.com/quotation-format/" TargetMode="External"/><Relationship Id="rId12" Type="http://schemas.openxmlformats.org/officeDocument/2006/relationships/hyperlink" Target="https://techguruplus.com/stock-management-software/" TargetMode="External"/><Relationship Id="rId17" Type="http://schemas.openxmlformats.org/officeDocument/2006/relationships/hyperlink" Target="https://techguruplus.com/warranty-certificate-templates/" TargetMode="External"/><Relationship Id="rId25" Type="http://schemas.openxmlformats.org/officeDocument/2006/relationships/hyperlink" Target="https://techguruplus.com/ctc-calculator-in-excel/" TargetMode="External"/><Relationship Id="rId33" Type="http://schemas.openxmlformats.org/officeDocument/2006/relationships/hyperlink" Target="https://techguruplus.com/resignation-letter-templates/" TargetMode="External"/><Relationship Id="rId38" Type="http://schemas.openxmlformats.org/officeDocument/2006/relationships/hyperlink" Target="https://techguruplus.com/noc-letter-format-for-vehicle-transfer-download-in-word-docx/" TargetMode="External"/><Relationship Id="rId46" Type="http://schemas.openxmlformats.org/officeDocument/2006/relationships/hyperlink" Target="https://techguruplus.com/warning-letter-to-employee-for-leave-without-permission-in-word/" TargetMode="External"/><Relationship Id="rId2" Type="http://schemas.openxmlformats.org/officeDocument/2006/relationships/hyperlink" Target="https://techguruplus.com/resume-cv-format-download-word-pdf/" TargetMode="External"/><Relationship Id="rId16" Type="http://schemas.openxmlformats.org/officeDocument/2006/relationships/hyperlink" Target="https://techguruplus.com/letterhead-templates/" TargetMode="External"/><Relationship Id="rId20" Type="http://schemas.openxmlformats.org/officeDocument/2006/relationships/hyperlink" Target="https://techguruplus.com/balance-sheet-excel-templates/" TargetMode="External"/><Relationship Id="rId29" Type="http://schemas.openxmlformats.org/officeDocument/2006/relationships/hyperlink" Target="https://techguruplus.com/salary-increment-letter-format-download-word/" TargetMode="External"/><Relationship Id="rId41" Type="http://schemas.openxmlformats.org/officeDocument/2006/relationships/hyperlink" Target="https://techguruplus.com/bonafide-certificate-application-request-letter-format-word/" TargetMode="External"/><Relationship Id="rId1" Type="http://schemas.openxmlformats.org/officeDocument/2006/relationships/hyperlink" Target="https://techguruplus.com/bio-data/" TargetMode="External"/><Relationship Id="rId6" Type="http://schemas.openxmlformats.org/officeDocument/2006/relationships/hyperlink" Target="https://techguruplus.com/download-top-30-invoice-format-in-excel-xls/" TargetMode="External"/><Relationship Id="rId11" Type="http://schemas.openxmlformats.org/officeDocument/2006/relationships/hyperlink" Target="https://techguruplus.com/tools/number-to-word/" TargetMode="External"/><Relationship Id="rId24" Type="http://schemas.openxmlformats.org/officeDocument/2006/relationships/hyperlink" Target="https://techguruplus.com/salary-slip-format-in-excel/" TargetMode="External"/><Relationship Id="rId32" Type="http://schemas.openxmlformats.org/officeDocument/2006/relationships/hyperlink" Target="https://techguruplus.com/appointment-letter-format-download-in-word-docx/" TargetMode="External"/><Relationship Id="rId37" Type="http://schemas.openxmlformats.org/officeDocument/2006/relationships/hyperlink" Target="https://techguruplus.com/noc-letter-format-for-visa-download-in-word-docx/" TargetMode="External"/><Relationship Id="rId40" Type="http://schemas.openxmlformats.org/officeDocument/2006/relationships/hyperlink" Target="https://techguruplus.com/bank-account-closing-letter-format/" TargetMode="External"/><Relationship Id="rId45" Type="http://schemas.openxmlformats.org/officeDocument/2006/relationships/hyperlink" Target="https://techguruplus.com/job-application-letter-for-the-post-of-accountant/" TargetMode="External"/><Relationship Id="rId5" Type="http://schemas.openxmlformats.org/officeDocument/2006/relationships/hyperlink" Target="https://techguruplus.com/computer-operator-resume-cv-templates/" TargetMode="External"/><Relationship Id="rId15" Type="http://schemas.openxmlformats.org/officeDocument/2006/relationships/hyperlink" Target="https://techguruplus.com/loan-emi-calculator-in-excel/" TargetMode="External"/><Relationship Id="rId23" Type="http://schemas.openxmlformats.org/officeDocument/2006/relationships/hyperlink" Target="https://techguruplus.com/tdl" TargetMode="External"/><Relationship Id="rId28" Type="http://schemas.openxmlformats.org/officeDocument/2006/relationships/hyperlink" Target="https://techguruplus.com/category/shortcut-keys-of-all-softwares/" TargetMode="External"/><Relationship Id="rId36" Type="http://schemas.openxmlformats.org/officeDocument/2006/relationships/hyperlink" Target="https://techguruplus.com/noc-letter-format-for-gst-registration-download-in-word-docx/" TargetMode="External"/><Relationship Id="rId49" Type="http://schemas.openxmlformats.org/officeDocument/2006/relationships/hyperlink" Target="https://techguruplus.com/internship-experience-letter-templates-in-word/" TargetMode="External"/><Relationship Id="rId10" Type="http://schemas.openxmlformats.org/officeDocument/2006/relationships/hyperlink" Target="https://techguruplus.com/excel-vba-code/" TargetMode="External"/><Relationship Id="rId19" Type="http://schemas.openxmlformats.org/officeDocument/2006/relationships/hyperlink" Target="https://techguruplus.com/medical-certificate/" TargetMode="External"/><Relationship Id="rId31" Type="http://schemas.openxmlformats.org/officeDocument/2006/relationships/hyperlink" Target="https://techguruplus.com/employee-job-joining-letter-format-download-in-word-docx/" TargetMode="External"/><Relationship Id="rId44" Type="http://schemas.openxmlformats.org/officeDocument/2006/relationships/hyperlink" Target="https://techguruplus.com/rent-agreement-format-in-word/" TargetMode="External"/><Relationship Id="rId4" Type="http://schemas.openxmlformats.org/officeDocument/2006/relationships/hyperlink" Target="https://techguruplus.com/fresher-resume-format/" TargetMode="External"/><Relationship Id="rId9" Type="http://schemas.openxmlformats.org/officeDocument/2006/relationships/hyperlink" Target="https://techguruplus.com/excel-project-practice-files-download/" TargetMode="External"/><Relationship Id="rId14" Type="http://schemas.openxmlformats.org/officeDocument/2006/relationships/hyperlink" Target="https://techguruplus.com/cheque-printing-format-in-excel-free-download-xls-file-download/" TargetMode="External"/><Relationship Id="rId22" Type="http://schemas.openxmlformats.org/officeDocument/2006/relationships/hyperlink" Target="https://techguruplus.com/tally-prime-tdl/" TargetMode="External"/><Relationship Id="rId27" Type="http://schemas.openxmlformats.org/officeDocument/2006/relationships/hyperlink" Target="https://techguruplus.com/payment-voucher-excel-templates/" TargetMode="External"/><Relationship Id="rId30" Type="http://schemas.openxmlformats.org/officeDocument/2006/relationships/hyperlink" Target="https://techguruplus.com/salary-increment-request-letter-format/" TargetMode="External"/><Relationship Id="rId35" Type="http://schemas.openxmlformats.org/officeDocument/2006/relationships/hyperlink" Target="https://techguruplus.com/noc-letter-format-for-bank-download-in-word-docx/" TargetMode="External"/><Relationship Id="rId43" Type="http://schemas.openxmlformats.org/officeDocument/2006/relationships/hyperlink" Target="https://techguruplus.com/internship-offer-letter-format-word/" TargetMode="External"/><Relationship Id="rId48" Type="http://schemas.openxmlformats.org/officeDocument/2006/relationships/hyperlink" Target="https://techguruplus.com/cover-letter-samples-for-job-application-in-word-format/" TargetMode="External"/><Relationship Id="rId8" Type="http://schemas.openxmlformats.org/officeDocument/2006/relationships/hyperlink" Target="https://techguruplus.com/proforma-invoice/" TargetMode="External"/><Relationship Id="rId51" Type="http://schemas.openxmlformats.org/officeDocument/2006/relationships/hyperlink" Target="https://techguruplus.com/bank-account-closing-letter-form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7"/>
  <sheetViews>
    <sheetView showGridLines="0" tabSelected="1" workbookViewId="0">
      <selection activeCell="D4" sqref="D4"/>
    </sheetView>
  </sheetViews>
  <sheetFormatPr defaultRowHeight="18"/>
  <cols>
    <col min="1" max="1" width="8.88671875" style="1"/>
    <col min="2" max="2" width="28" style="1" bestFit="1" customWidth="1"/>
    <col min="3" max="3" width="18.88671875" style="1" customWidth="1"/>
    <col min="4" max="4" width="14.109375" style="1" customWidth="1"/>
    <col min="5" max="5" width="14.88671875" style="1" bestFit="1" customWidth="1"/>
    <col min="6" max="6" width="7.6640625" style="1" bestFit="1" customWidth="1"/>
    <col min="7" max="7" width="7.6640625" style="1" customWidth="1"/>
    <col min="8" max="8" width="28" style="1" customWidth="1"/>
    <col min="9" max="9" width="18.88671875" style="1" customWidth="1"/>
    <col min="10" max="10" width="14.109375" style="1" customWidth="1"/>
    <col min="11" max="11" width="14.88671875" style="1" customWidth="1"/>
    <col min="12" max="16384" width="8.88671875" style="1"/>
  </cols>
  <sheetData>
    <row r="1" spans="2:11" ht="7.2" customHeight="1"/>
    <row r="2" spans="2:11" ht="28.8">
      <c r="B2" s="12" t="s">
        <v>12</v>
      </c>
      <c r="C2" s="12"/>
      <c r="D2" s="12"/>
      <c r="E2" s="12"/>
      <c r="F2" s="12"/>
      <c r="G2" s="12"/>
      <c r="H2" s="12"/>
      <c r="I2" s="12"/>
      <c r="J2" s="12"/>
      <c r="K2" s="12"/>
    </row>
    <row r="3" spans="2:11" ht="8.4" customHeight="1"/>
    <row r="4" spans="2:11" ht="30.6" customHeight="1" thickBot="1">
      <c r="B4" s="9" t="s">
        <v>10</v>
      </c>
      <c r="C4" s="9">
        <v>12000</v>
      </c>
    </row>
    <row r="5" spans="2:11" ht="18.600000000000001" thickTop="1"/>
    <row r="9" spans="2:11" s="2" customFormat="1">
      <c r="B9" s="5" t="s">
        <v>11</v>
      </c>
      <c r="C9" s="6" t="s">
        <v>16</v>
      </c>
      <c r="D9" s="6"/>
      <c r="E9" s="6" t="s">
        <v>17</v>
      </c>
      <c r="H9" s="5" t="s">
        <v>11</v>
      </c>
      <c r="I9" s="6" t="s">
        <v>16</v>
      </c>
      <c r="J9" s="6"/>
      <c r="K9" s="6" t="s">
        <v>17</v>
      </c>
    </row>
    <row r="10" spans="2:11">
      <c r="B10" s="1" t="s">
        <v>0</v>
      </c>
      <c r="C10" s="3">
        <f>C4*40%</f>
        <v>4800</v>
      </c>
      <c r="D10" s="3"/>
      <c r="E10" s="3">
        <f>C10*12</f>
        <v>57600</v>
      </c>
      <c r="H10" s="1" t="s">
        <v>0</v>
      </c>
      <c r="I10" s="3">
        <f>C4*40%</f>
        <v>4800</v>
      </c>
      <c r="J10" s="3"/>
      <c r="K10" s="3">
        <f>I10*12</f>
        <v>57600</v>
      </c>
    </row>
    <row r="11" spans="2:11">
      <c r="B11" s="1" t="s">
        <v>1</v>
      </c>
      <c r="C11" s="3">
        <f>C10*50%</f>
        <v>2400</v>
      </c>
      <c r="D11" s="3"/>
      <c r="E11" s="3">
        <f t="shared" ref="E11:E18" si="0">C11*12</f>
        <v>28800</v>
      </c>
      <c r="H11" s="1" t="s">
        <v>1</v>
      </c>
      <c r="I11" s="3">
        <f>I10*50%</f>
        <v>2400</v>
      </c>
      <c r="J11" s="3"/>
      <c r="K11" s="3">
        <f t="shared" ref="K11:K20" si="1">I11*12</f>
        <v>28800</v>
      </c>
    </row>
    <row r="12" spans="2:11">
      <c r="B12" s="1" t="s">
        <v>2</v>
      </c>
      <c r="C12" s="3">
        <v>1600</v>
      </c>
      <c r="D12" s="3"/>
      <c r="E12" s="3">
        <f t="shared" si="0"/>
        <v>19200</v>
      </c>
      <c r="H12" s="1" t="s">
        <v>2</v>
      </c>
      <c r="I12" s="3">
        <v>1600</v>
      </c>
      <c r="J12" s="3"/>
      <c r="K12" s="3">
        <f t="shared" si="1"/>
        <v>19200</v>
      </c>
    </row>
    <row r="13" spans="2:11">
      <c r="B13" s="1" t="s">
        <v>9</v>
      </c>
      <c r="C13" s="3">
        <f>C4-C10-C11-C12-C14</f>
        <v>2624</v>
      </c>
      <c r="D13" s="4">
        <f>C10+C11+C12+C13</f>
        <v>11424</v>
      </c>
      <c r="E13" s="3">
        <f t="shared" si="0"/>
        <v>31488</v>
      </c>
      <c r="H13" s="1" t="s">
        <v>9</v>
      </c>
      <c r="I13" s="3">
        <f>C4-I10-I11-I12-I14</f>
        <v>2624</v>
      </c>
      <c r="J13" s="4">
        <f>I10+I11+I12+I13</f>
        <v>11424</v>
      </c>
      <c r="K13" s="3">
        <f t="shared" si="1"/>
        <v>31488</v>
      </c>
    </row>
    <row r="14" spans="2:11">
      <c r="B14" s="1" t="s">
        <v>3</v>
      </c>
      <c r="C14" s="3">
        <f>ROUND(C10*12%,0)</f>
        <v>576</v>
      </c>
      <c r="D14" s="3"/>
      <c r="E14" s="3">
        <f t="shared" si="0"/>
        <v>6912</v>
      </c>
      <c r="H14" s="1" t="s">
        <v>3</v>
      </c>
      <c r="I14" s="3">
        <f>IF(ROUND(I10*12%,0)&gt;=1800,1800,(ROUND(I10*12%,0)))</f>
        <v>576</v>
      </c>
      <c r="J14" s="3"/>
      <c r="K14" s="3">
        <f t="shared" si="1"/>
        <v>6912</v>
      </c>
    </row>
    <row r="15" spans="2:11">
      <c r="B15" s="1" t="s">
        <v>4</v>
      </c>
      <c r="C15" s="3">
        <f>SUM(C10:C14)</f>
        <v>12000</v>
      </c>
      <c r="D15" s="3"/>
      <c r="E15" s="3">
        <f t="shared" si="0"/>
        <v>144000</v>
      </c>
      <c r="H15" s="1" t="s">
        <v>4</v>
      </c>
      <c r="I15" s="3">
        <f>SUM(I10:I14)</f>
        <v>12000</v>
      </c>
      <c r="J15" s="3"/>
      <c r="K15" s="3">
        <f t="shared" si="1"/>
        <v>144000</v>
      </c>
    </row>
    <row r="16" spans="2:11">
      <c r="B16" s="11" t="s">
        <v>5</v>
      </c>
      <c r="C16" s="3"/>
      <c r="D16" s="3"/>
      <c r="E16" s="3"/>
      <c r="H16" s="11" t="s">
        <v>5</v>
      </c>
      <c r="I16" s="3"/>
      <c r="J16" s="3"/>
      <c r="K16" s="3"/>
    </row>
    <row r="17" spans="2:11">
      <c r="B17" s="1" t="s">
        <v>3</v>
      </c>
      <c r="C17" s="3">
        <f>C14</f>
        <v>576</v>
      </c>
      <c r="D17" s="3"/>
      <c r="E17" s="3">
        <f t="shared" si="0"/>
        <v>6912</v>
      </c>
      <c r="H17" s="1" t="s">
        <v>3</v>
      </c>
      <c r="I17" s="3">
        <f>I14</f>
        <v>576</v>
      </c>
      <c r="J17" s="3"/>
      <c r="K17" s="3">
        <f t="shared" si="1"/>
        <v>6912</v>
      </c>
    </row>
    <row r="18" spans="2:11">
      <c r="B18" s="1" t="s">
        <v>6</v>
      </c>
      <c r="C18" s="3">
        <f>C14</f>
        <v>576</v>
      </c>
      <c r="D18" s="3"/>
      <c r="E18" s="3">
        <f t="shared" si="0"/>
        <v>6912</v>
      </c>
      <c r="H18" s="1" t="s">
        <v>6</v>
      </c>
      <c r="I18" s="3">
        <f>I14</f>
        <v>576</v>
      </c>
      <c r="J18" s="3"/>
      <c r="K18" s="3">
        <f t="shared" si="1"/>
        <v>6912</v>
      </c>
    </row>
    <row r="19" spans="2:11">
      <c r="B19" s="1" t="s">
        <v>7</v>
      </c>
      <c r="C19" s="3">
        <f>ROUND(IF(D13&lt;21000,D13*0.75%),0)</f>
        <v>86</v>
      </c>
      <c r="D19" s="3"/>
      <c r="E19" s="3">
        <f>C19*12</f>
        <v>1032</v>
      </c>
      <c r="H19" s="1" t="s">
        <v>7</v>
      </c>
      <c r="I19" s="3">
        <f>ROUND(IF(J13&lt;21000,J13*0.75%),0)</f>
        <v>86</v>
      </c>
      <c r="J19" s="3"/>
      <c r="K19" s="3">
        <f t="shared" si="1"/>
        <v>1032</v>
      </c>
    </row>
    <row r="20" spans="2:11">
      <c r="B20" s="7" t="s">
        <v>8</v>
      </c>
      <c r="C20" s="8">
        <f>C15-C17-C18-C19</f>
        <v>10762</v>
      </c>
      <c r="D20" s="8"/>
      <c r="E20" s="8">
        <f>C20*12</f>
        <v>129144</v>
      </c>
      <c r="H20" s="7" t="s">
        <v>8</v>
      </c>
      <c r="I20" s="8">
        <f>I15-I17-I18-I19</f>
        <v>10762</v>
      </c>
      <c r="J20" s="8"/>
      <c r="K20" s="8">
        <f t="shared" si="1"/>
        <v>129144</v>
      </c>
    </row>
    <row r="21" spans="2:11" ht="8.4" customHeight="1"/>
    <row r="22" spans="2:11">
      <c r="B22" s="10" t="s">
        <v>13</v>
      </c>
      <c r="H22" s="10" t="s">
        <v>14</v>
      </c>
    </row>
    <row r="27" spans="2:11">
      <c r="H27" s="13" t="s">
        <v>15</v>
      </c>
      <c r="I27" s="13"/>
      <c r="J27" s="13"/>
      <c r="K27" s="13"/>
    </row>
  </sheetData>
  <mergeCells count="2">
    <mergeCell ref="B2:K2"/>
    <mergeCell ref="H27:K27"/>
  </mergeCells>
  <dataValidations count="2">
    <dataValidation allowBlank="1" showInputMessage="1" showErrorMessage="1" promptTitle="CTC Amount" prompt="for CTC Calculation" sqref="C4" xr:uid="{250AC412-D100-4AE8-A662-5A12CB56A901}"/>
    <dataValidation allowBlank="1" showInputMessage="1" showErrorMessage="1" promptTitle="GROSS AMOUNT" prompt="for ESIC Calcualtion" sqref="D13 J13" xr:uid="{C72B4144-00BA-40B3-893E-CE7E8585DA8E}"/>
  </dataValidations>
  <hyperlinks>
    <hyperlink ref="H27:K27" r:id="rId1" display="Download more Tools on www.TechGuruPlus.com" xr:uid="{FC6A3481-E803-4F6D-8A1F-8CFA3F15DFB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18A4-B8A0-4D90-BACF-8024B7D19CBB}">
  <dimension ref="A1:H22"/>
  <sheetViews>
    <sheetView showGridLines="0" zoomScaleNormal="100" workbookViewId="0">
      <selection activeCell="F24" sqref="F24"/>
    </sheetView>
  </sheetViews>
  <sheetFormatPr defaultRowHeight="13.2"/>
  <cols>
    <col min="1" max="1" width="8.88671875" style="14"/>
    <col min="2" max="2" width="24.88671875" style="16" bestFit="1" customWidth="1"/>
    <col min="3" max="3" width="8.88671875" style="16"/>
    <col min="4" max="4" width="23.5546875" style="16" bestFit="1" customWidth="1"/>
    <col min="5" max="5" width="8.88671875" style="16"/>
    <col min="6" max="6" width="34.44140625" style="18" bestFit="1" customWidth="1"/>
    <col min="7" max="7" width="8.88671875" style="16"/>
    <col min="8" max="8" width="33.33203125" style="18" bestFit="1" customWidth="1"/>
    <col min="9" max="16384" width="8.88671875" style="16"/>
  </cols>
  <sheetData>
    <row r="1" spans="1:8" ht="27.6" customHeight="1">
      <c r="B1" s="15" t="s">
        <v>18</v>
      </c>
      <c r="C1" s="15"/>
      <c r="D1" s="15"/>
      <c r="E1" s="15"/>
      <c r="F1" s="15"/>
      <c r="G1" s="15"/>
      <c r="H1" s="15"/>
    </row>
    <row r="2" spans="1:8">
      <c r="B2" s="17"/>
      <c r="C2" s="17"/>
      <c r="D2" s="17"/>
      <c r="E2" s="17"/>
      <c r="F2" s="17"/>
      <c r="G2" s="17"/>
      <c r="H2" s="17"/>
    </row>
    <row r="3" spans="1:8" s="21" customFormat="1" ht="15.6">
      <c r="A3" s="19">
        <v>1</v>
      </c>
      <c r="B3" s="20" t="s">
        <v>19</v>
      </c>
      <c r="D3" s="22" t="s">
        <v>20</v>
      </c>
      <c r="F3" s="23" t="s">
        <v>21</v>
      </c>
      <c r="H3" s="24" t="s">
        <v>22</v>
      </c>
    </row>
    <row r="4" spans="1:8" s="21" customFormat="1" ht="15.6">
      <c r="A4" s="19">
        <v>2</v>
      </c>
      <c r="B4" s="20" t="s">
        <v>23</v>
      </c>
      <c r="D4" s="22" t="s">
        <v>24</v>
      </c>
      <c r="F4" s="23" t="s">
        <v>25</v>
      </c>
      <c r="H4" s="24" t="s">
        <v>26</v>
      </c>
    </row>
    <row r="5" spans="1:8" s="21" customFormat="1" ht="15.6">
      <c r="A5" s="19">
        <v>3</v>
      </c>
      <c r="B5" s="20" t="s">
        <v>27</v>
      </c>
      <c r="D5" s="22" t="s">
        <v>28</v>
      </c>
      <c r="F5" s="23" t="s">
        <v>29</v>
      </c>
      <c r="H5" s="24" t="s">
        <v>30</v>
      </c>
    </row>
    <row r="6" spans="1:8" s="21" customFormat="1" ht="15.6">
      <c r="A6" s="19">
        <v>4</v>
      </c>
      <c r="B6" s="20" t="s">
        <v>31</v>
      </c>
      <c r="D6" s="22" t="s">
        <v>32</v>
      </c>
      <c r="F6" s="23" t="s">
        <v>33</v>
      </c>
      <c r="H6" s="24" t="s">
        <v>34</v>
      </c>
    </row>
    <row r="7" spans="1:8" s="21" customFormat="1" ht="15.6">
      <c r="A7" s="19"/>
      <c r="B7" s="25"/>
      <c r="D7" s="26" t="s">
        <v>35</v>
      </c>
      <c r="F7" s="27"/>
      <c r="H7" s="28"/>
    </row>
    <row r="8" spans="1:8" s="21" customFormat="1" ht="15.6">
      <c r="A8" s="19">
        <v>5</v>
      </c>
      <c r="B8" s="20" t="s">
        <v>36</v>
      </c>
      <c r="D8" s="22" t="s">
        <v>37</v>
      </c>
      <c r="F8" s="23" t="s">
        <v>38</v>
      </c>
      <c r="H8" s="24" t="s">
        <v>39</v>
      </c>
    </row>
    <row r="9" spans="1:8" s="21" customFormat="1" ht="15.6">
      <c r="A9" s="19">
        <v>6</v>
      </c>
      <c r="B9" s="20" t="s">
        <v>40</v>
      </c>
      <c r="D9" s="22" t="s">
        <v>41</v>
      </c>
      <c r="F9" s="23" t="s">
        <v>42</v>
      </c>
      <c r="H9" s="24" t="s">
        <v>43</v>
      </c>
    </row>
    <row r="10" spans="1:8" s="21" customFormat="1" ht="15.6">
      <c r="A10" s="19">
        <v>7</v>
      </c>
      <c r="B10" s="20" t="s">
        <v>44</v>
      </c>
      <c r="D10" s="22" t="s">
        <v>45</v>
      </c>
      <c r="F10" s="23" t="s">
        <v>46</v>
      </c>
      <c r="H10" s="24" t="s">
        <v>47</v>
      </c>
    </row>
    <row r="11" spans="1:8" s="21" customFormat="1" ht="15.6">
      <c r="A11" s="19">
        <v>8</v>
      </c>
      <c r="B11" s="20" t="s">
        <v>48</v>
      </c>
      <c r="D11" s="22" t="s">
        <v>49</v>
      </c>
      <c r="F11" s="23" t="s">
        <v>50</v>
      </c>
      <c r="H11" s="28"/>
    </row>
    <row r="12" spans="1:8" s="21" customFormat="1" ht="15.6">
      <c r="A12" s="19">
        <v>9</v>
      </c>
      <c r="B12" s="20" t="s">
        <v>51</v>
      </c>
      <c r="D12" s="22" t="s">
        <v>52</v>
      </c>
      <c r="F12" s="23" t="s">
        <v>53</v>
      </c>
      <c r="H12" s="29"/>
    </row>
    <row r="13" spans="1:8" s="21" customFormat="1" ht="15.6">
      <c r="A13" s="19">
        <v>10</v>
      </c>
      <c r="B13" s="20" t="s">
        <v>54</v>
      </c>
      <c r="D13" s="22" t="s">
        <v>55</v>
      </c>
      <c r="F13" s="27"/>
      <c r="H13" s="29"/>
    </row>
    <row r="14" spans="1:8" s="21" customFormat="1" ht="15.6">
      <c r="A14" s="19"/>
      <c r="B14" s="25"/>
      <c r="D14" s="26" t="s">
        <v>56</v>
      </c>
      <c r="F14" s="27"/>
      <c r="H14" s="29"/>
    </row>
    <row r="15" spans="1:8" s="21" customFormat="1" ht="15.6">
      <c r="A15" s="19">
        <v>11</v>
      </c>
      <c r="B15" s="20" t="s">
        <v>57</v>
      </c>
      <c r="D15" s="22" t="s">
        <v>58</v>
      </c>
      <c r="F15" s="23" t="s">
        <v>59</v>
      </c>
      <c r="H15" s="29"/>
    </row>
    <row r="16" spans="1:8" s="21" customFormat="1" ht="15.6">
      <c r="A16" s="19">
        <v>12</v>
      </c>
      <c r="B16" s="20" t="s">
        <v>60</v>
      </c>
      <c r="D16" s="22" t="s">
        <v>61</v>
      </c>
      <c r="F16" s="23" t="s">
        <v>62</v>
      </c>
      <c r="H16" s="29"/>
    </row>
    <row r="17" spans="1:8" s="21" customFormat="1" ht="15.6">
      <c r="A17" s="19">
        <v>13</v>
      </c>
      <c r="B17" s="20" t="s">
        <v>63</v>
      </c>
      <c r="D17" s="22" t="s">
        <v>64</v>
      </c>
      <c r="F17" s="23" t="s">
        <v>65</v>
      </c>
      <c r="H17" s="29"/>
    </row>
    <row r="18" spans="1:8" s="21" customFormat="1" ht="15.6">
      <c r="A18" s="19">
        <v>14</v>
      </c>
      <c r="B18" s="20" t="s">
        <v>66</v>
      </c>
      <c r="D18" s="22" t="s">
        <v>67</v>
      </c>
      <c r="F18" s="23" t="s">
        <v>68</v>
      </c>
      <c r="H18" s="29"/>
    </row>
    <row r="19" spans="1:8" s="21" customFormat="1" ht="15.6">
      <c r="A19" s="19">
        <v>15</v>
      </c>
      <c r="B19" s="20" t="s">
        <v>69</v>
      </c>
      <c r="D19" s="22" t="s">
        <v>59</v>
      </c>
      <c r="F19" s="23" t="s">
        <v>70</v>
      </c>
      <c r="H19" s="29"/>
    </row>
    <row r="20" spans="1:8" s="21" customFormat="1" ht="15.6">
      <c r="A20" s="19"/>
      <c r="F20" s="29"/>
      <c r="H20" s="29"/>
    </row>
    <row r="21" spans="1:8" s="21" customFormat="1" ht="15.6">
      <c r="A21" s="19"/>
      <c r="F21" s="29"/>
      <c r="H21" s="29"/>
    </row>
    <row r="22" spans="1:8" s="21" customFormat="1" ht="15.6">
      <c r="A22" s="19"/>
      <c r="F22" s="29"/>
      <c r="H22" s="29"/>
    </row>
  </sheetData>
  <mergeCells count="1">
    <mergeCell ref="B1:H1"/>
  </mergeCells>
  <hyperlinks>
    <hyperlink ref="B3" r:id="rId1" display="https://techguruplus.com/bio-data/" xr:uid="{F46EBEE7-8AB3-4A0D-8C07-9495761D4667}"/>
    <hyperlink ref="B4" r:id="rId2" display="https://techguruplus.com/resume-cv-format-download-word-pdf/" xr:uid="{9AB8EBA0-C40C-4462-B399-299EF512BB84}"/>
    <hyperlink ref="B5" r:id="rId3" display="https://techguruplus.com/accountant-resume-word-docx-download/" xr:uid="{DE7227F1-AADD-44D1-A4D3-7693B3FCF714}"/>
    <hyperlink ref="B6" r:id="rId4" display="https://techguruplus.com/fresher-resume-format/" xr:uid="{25EDF60F-2525-42D4-A67C-E372B160E546}"/>
    <hyperlink ref="B13" r:id="rId5" display="https://techguruplus.com/computer-operator-resume-cv-templates/" xr:uid="{21E0A8F8-D9B3-4503-AF02-F59DDAF04F7A}"/>
    <hyperlink ref="B8" r:id="rId6" display="https://techguruplus.com/download-top-30-invoice-format-in-excel-xls/" xr:uid="{6FA877B3-C2CC-46E9-A77B-0661139A7228}"/>
    <hyperlink ref="B9" r:id="rId7" display="https://techguruplus.com/quotation-format/" xr:uid="{076236FA-77F7-4688-B4B6-9587DDC89C29}"/>
    <hyperlink ref="B10" r:id="rId8" display="https://techguruplus.com/proforma-invoice/" xr:uid="{4DF58CC9-97F2-48CC-A3C8-6F6CFC44B66D}"/>
    <hyperlink ref="B11" r:id="rId9" display="https://techguruplus.com/excel-project-practice-files-download/" xr:uid="{FDB651AA-1EB6-4197-B136-39DEE193AB83}"/>
    <hyperlink ref="B12" r:id="rId10" display="https://techguruplus.com/excel-vba-code/" xr:uid="{9A520858-68E0-436D-A65D-D058E279F145}"/>
    <hyperlink ref="B15" r:id="rId11" display="https://techguruplus.com/tools/number-to-word/" xr:uid="{45A6189A-DB24-4BF7-88AC-6EB18FFC7DF8}"/>
    <hyperlink ref="B16" r:id="rId12" display="https://techguruplus.com/stock-management-software/" xr:uid="{53E68356-86DD-48B7-A3D3-41432C78C533}"/>
    <hyperlink ref="B17" r:id="rId13" display="https://techguruplus.com/age-calculator-in-excel-xls-file-download/" xr:uid="{5AF7D6C6-CA1D-4CD0-ABD4-9E75154D80E4}"/>
    <hyperlink ref="B18" r:id="rId14" display="https://techguruplus.com/cheque-printing-format-in-excel-free-download-xls-file-download/" xr:uid="{FF96A82D-0FB2-4D66-B510-FEF6B052301D}"/>
    <hyperlink ref="B19" r:id="rId15" display="https://techguruplus.com/loan-emi-calculator-in-excel/" xr:uid="{F6594C01-29A4-47A3-8975-B18E07CC9AC9}"/>
    <hyperlink ref="D3" r:id="rId16" display="https://techguruplus.com/letterhead-templates/" xr:uid="{98707AC6-F0B4-4F68-8146-1AA68DF1C033}"/>
    <hyperlink ref="D4" r:id="rId17" display="https://techguruplus.com/warranty-certificate-templates/" xr:uid="{5E004234-6AB5-4F48-966B-A5EEBD08EEC0}"/>
    <hyperlink ref="D5" r:id="rId18" display="https://techguruplus.com/experience-certificate-word-templates/" xr:uid="{DA0F5F52-1794-4972-A802-2BBA95EF3021}"/>
    <hyperlink ref="D6" r:id="rId19" display="https://techguruplus.com/medical-certificate/" xr:uid="{7F5D244E-6AEB-4098-898C-1D9B857F7D83}"/>
    <hyperlink ref="D8" r:id="rId20" display="https://techguruplus.com/balance-sheet-excel-templates/" xr:uid="{BC087663-1C8A-4002-B238-60A992FBF339}"/>
    <hyperlink ref="D9" r:id="rId21" display="https://techguruplus.com/profit-loss-excel-templates/" xr:uid="{B559967B-ACE8-4934-89DB-7B3624D611B7}"/>
    <hyperlink ref="D10" r:id="rId22" display="https://techguruplus.com/tally-prime-tdl/" xr:uid="{9CD32430-EA21-4E37-BC56-6805B2ACB155}"/>
    <hyperlink ref="D11" r:id="rId23" display="https://techguruplus.com/tdl" xr:uid="{A113D645-556D-400F-A4B3-FD7F9B7E2AA2}"/>
    <hyperlink ref="D12" r:id="rId24" display="https://techguruplus.com/salary-slip-format-in-excel/" xr:uid="{DE92878E-20D9-43D2-BA23-B5D29CB3E511}"/>
    <hyperlink ref="D13" r:id="rId25" display="https://techguruplus.com/ctc-calculator-in-excel/" xr:uid="{92BFB892-31EF-4451-BA40-F350CA0F4EF3}"/>
    <hyperlink ref="D15" r:id="rId26" display="https://techguruplus.com/powerpoint-templates-ppt/" xr:uid="{4D7E3A65-C8CB-44B0-9A0A-65DA387C0373}"/>
    <hyperlink ref="D16" r:id="rId27" display="https://techguruplus.com/payment-voucher-excel-templates/" xr:uid="{F0CFA2E4-C13B-403B-8814-53D5F1F7D018}"/>
    <hyperlink ref="D17" r:id="rId28" display="https://techguruplus.com/category/shortcut-keys-of-all-softwares/" xr:uid="{6C33D0E5-44C3-4CDD-9FD6-3A635259F5CE}"/>
    <hyperlink ref="F3" r:id="rId29" display="https://techguruplus.com/salary-increment-letter-format-download-word/" xr:uid="{ECC78103-EE84-4D39-887D-0B5E840079B1}"/>
    <hyperlink ref="F4" r:id="rId30" display="https://techguruplus.com/salary-increment-request-letter-format/" xr:uid="{AF651121-297C-4BFC-B946-4A5B659C77D2}"/>
    <hyperlink ref="F5" r:id="rId31" display="https://techguruplus.com/employee-job-joining-letter-format-download-in-word-docx/" xr:uid="{B8576426-6A27-4F35-958B-5D5049193C7E}"/>
    <hyperlink ref="F6" r:id="rId32" display="https://techguruplus.com/appointment-letter-format-download-in-word-docx/" xr:uid="{3BC5E8E8-FDCD-476E-B072-FAE808574346}"/>
    <hyperlink ref="H10" r:id="rId33" display="https://techguruplus.com/resignation-letter-templates/" xr:uid="{E1B99A40-7E30-4D4B-939C-CB85331AAB5D}"/>
    <hyperlink ref="F8" r:id="rId34" display="https://techguruplus.com/top-5-bank-statement-request-letter-format-download-in-word-docx/" xr:uid="{7A190F79-1BAF-4351-8DA8-E09CDA50E496}"/>
    <hyperlink ref="F9" r:id="rId35" display="https://techguruplus.com/noc-letter-format-for-bank-download-in-word-docx/" xr:uid="{667453A4-2F57-4EB9-9CE6-040B3D970182}"/>
    <hyperlink ref="F10" r:id="rId36" display="https://techguruplus.com/noc-letter-format-for-gst-registration-download-in-word-docx/" xr:uid="{340D7138-E5CB-4DB5-B0B1-287CFBB58C53}"/>
    <hyperlink ref="F11" r:id="rId37" display="https://techguruplus.com/noc-letter-format-for-visa-download-in-word-docx/" xr:uid="{BBA3F86A-D509-405B-8F7A-8F8D0F25D79C}"/>
    <hyperlink ref="F12" r:id="rId38" display="https://techguruplus.com/noc-letter-format-for-vehicle-transfer-download-in-word-docx/" xr:uid="{C76A3AE1-1615-4EA5-BC3F-8489ACFD8C63}"/>
    <hyperlink ref="D18" r:id="rId39" display="https://techguruplus.com/undertaking-letter-format-download-in-word-docx/" xr:uid="{6BCCCD6E-321E-4461-BC19-AE15A6D43F33}"/>
    <hyperlink ref="F15" r:id="rId40" display="https://techguruplus.com/bank-account-closing-letter-format/" xr:uid="{68B98D13-4E2A-4A01-9259-3038D66D7B48}"/>
    <hyperlink ref="F16" r:id="rId41" display="https://techguruplus.com/bonafide-certificate-application-request-letter-format-word/" xr:uid="{9B32F6CE-2E12-4141-A23D-C4905D36A39A}"/>
    <hyperlink ref="F17" r:id="rId42" display="https://techguruplus.com/tc-letter-format-to-be-issued-to-student-word/" xr:uid="{CC7519E9-79EF-4C91-AD05-77C07EA4D2D9}"/>
    <hyperlink ref="F18" r:id="rId43" display="https://techguruplus.com/internship-offer-letter-format-word/" xr:uid="{AD001C7D-AF1B-4D08-B0F3-792F7B34F208}"/>
    <hyperlink ref="F19" r:id="rId44" display="https://techguruplus.com/rent-agreement-format-in-word/" xr:uid="{0B39820C-05F3-40FE-906A-EA74B74EFFCF}"/>
    <hyperlink ref="H3" r:id="rId45" display="https://techguruplus.com/job-application-letter-for-the-post-of-accountant/" xr:uid="{38D679EE-ACC8-4D0A-95D5-F18B72C71E1D}"/>
    <hyperlink ref="H4" r:id="rId46" display="https://techguruplus.com/warning-letter-to-employee-for-leave-without-permission-in-word/" xr:uid="{CEE7537E-E4F3-4668-A7AD-F90CB6B28137}"/>
    <hyperlink ref="H5" r:id="rId47" display="https://techguruplus.com/termination-letter-formats-for-absconding-employees-in-word/" xr:uid="{FD42411A-DB20-4E8D-9133-6CE78D9D48AE}"/>
    <hyperlink ref="H6" r:id="rId48" display="https://techguruplus.com/cover-letter-samples-for-job-application-in-word-format/" xr:uid="{606D448B-25C2-4345-8AEF-2BAC941C4150}"/>
    <hyperlink ref="H8" r:id="rId49" display="https://techguruplus.com/internship-experience-letter-templates-in-word/" xr:uid="{58251EF4-B193-48D2-88C5-5E0CB73B6677}"/>
    <hyperlink ref="H9" r:id="rId50" display="https://techguruplus.com/sample-holiday-announcement-emails-to-employees/" xr:uid="{7196DA30-911C-432F-B1D2-43A1046BFD07}"/>
    <hyperlink ref="D19" r:id="rId51" display="https://techguruplus.com/bank-account-closing-letter-format/" xr:uid="{3D0FFD5B-58CF-43AC-8F8B-08AE20B395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CTC Calculator</vt:lpstr>
      <vt:lpstr>Useful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Rahat</dc:creator>
  <cp:lastModifiedBy>HP</cp:lastModifiedBy>
  <dcterms:created xsi:type="dcterms:W3CDTF">2023-04-03T16:53:18Z</dcterms:created>
  <dcterms:modified xsi:type="dcterms:W3CDTF">2024-06-15T09:59:21Z</dcterms:modified>
</cp:coreProperties>
</file>