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5278FF3A-E890-41E9-AC21-55ACA369BE8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TC Calculator" sheetId="1" r:id="rId1"/>
    <sheet name="Useful Link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3" i="1" l="1"/>
  <c r="F22" i="1"/>
  <c r="F21" i="1"/>
  <c r="F15" i="1"/>
  <c r="F14" i="1"/>
  <c r="F11" i="1"/>
  <c r="D8" i="1"/>
  <c r="D19" i="1" s="1"/>
  <c r="F19" i="1" s="1"/>
  <c r="F10" i="1"/>
  <c r="D26" i="1" l="1"/>
  <c r="D20" i="1"/>
  <c r="F20" i="1" s="1"/>
  <c r="D17" i="1"/>
  <c r="F17" i="1" s="1"/>
  <c r="D9" i="1"/>
  <c r="F8" i="1"/>
  <c r="D12" i="1" l="1"/>
  <c r="F9" i="1"/>
  <c r="F26" i="1"/>
  <c r="D18" i="1" l="1"/>
  <c r="F18" i="1" s="1"/>
  <c r="D27" i="1"/>
  <c r="D16" i="1"/>
  <c r="D29" i="1"/>
  <c r="F12" i="1"/>
  <c r="F13" i="1" s="1"/>
  <c r="F27" i="1" l="1"/>
  <c r="D30" i="1"/>
  <c r="D32" i="1" s="1"/>
  <c r="F16" i="1"/>
  <c r="D23" i="1"/>
  <c r="F29" i="1"/>
  <c r="F28" i="1"/>
  <c r="F30" i="1" l="1"/>
  <c r="F32" i="1" s="1"/>
  <c r="F23" i="1"/>
</calcChain>
</file>

<file path=xl/sharedStrings.xml><?xml version="1.0" encoding="utf-8"?>
<sst xmlns="http://schemas.openxmlformats.org/spreadsheetml/2006/main" count="95" uniqueCount="90">
  <si>
    <t>Enter Monthly Salary</t>
  </si>
  <si>
    <t>Particulars</t>
  </si>
  <si>
    <t>Professional CTC Calculator</t>
  </si>
  <si>
    <t>Medical Allowances</t>
  </si>
  <si>
    <t>Total Gross Salary</t>
  </si>
  <si>
    <t>Basic Salary</t>
  </si>
  <si>
    <t>Fixed</t>
  </si>
  <si>
    <t>Conveyance Allowances</t>
  </si>
  <si>
    <r>
      <t xml:space="preserve">Total Gross Salary </t>
    </r>
    <r>
      <rPr>
        <b/>
        <sz val="11"/>
        <color theme="1"/>
        <rFont val="Calibri"/>
        <family val="2"/>
        <scheme val="minor"/>
      </rPr>
      <t>(with other allownaces)</t>
    </r>
  </si>
  <si>
    <t>Employer ESI contribution</t>
  </si>
  <si>
    <r>
      <t xml:space="preserve">Mobile Allowance    </t>
    </r>
    <r>
      <rPr>
        <sz val="11"/>
        <color theme="1"/>
        <rFont val="Calibri"/>
        <family val="2"/>
        <scheme val="minor"/>
      </rPr>
      <t>(as per company policy)</t>
    </r>
  </si>
  <si>
    <r>
      <t xml:space="preserve">Medical &amp; Accidental Insurance </t>
    </r>
    <r>
      <rPr>
        <sz val="11"/>
        <color theme="1"/>
        <rFont val="Calibri"/>
        <family val="2"/>
        <scheme val="minor"/>
      </rPr>
      <t>(as per company policy)</t>
    </r>
  </si>
  <si>
    <r>
      <t xml:space="preserve">Food Allowances </t>
    </r>
    <r>
      <rPr>
        <sz val="11"/>
        <color theme="1"/>
        <rFont val="Calibri"/>
        <family val="2"/>
        <scheme val="minor"/>
      </rPr>
      <t>(for Site Deployed Employee)</t>
    </r>
  </si>
  <si>
    <r>
      <t xml:space="preserve">Petrol Allowances </t>
    </r>
    <r>
      <rPr>
        <sz val="11"/>
        <color theme="1"/>
        <rFont val="Calibri"/>
        <family val="2"/>
        <scheme val="minor"/>
      </rPr>
      <t>(for Site Deployed Employee)</t>
    </r>
  </si>
  <si>
    <r>
      <t xml:space="preserve">Special / Other Allowances </t>
    </r>
    <r>
      <rPr>
        <sz val="11"/>
        <color theme="1"/>
        <rFont val="Calibri"/>
        <family val="2"/>
        <scheme val="minor"/>
      </rPr>
      <t>(Balance Amount)</t>
    </r>
  </si>
  <si>
    <r>
      <t>HRA</t>
    </r>
    <r>
      <rPr>
        <sz val="11"/>
        <color theme="1"/>
        <rFont val="Calibri"/>
        <family val="2"/>
        <scheme val="minor"/>
      </rPr>
      <t xml:space="preserve"> (Calculated on Basic Wages)</t>
    </r>
  </si>
  <si>
    <t>Tax slab rate</t>
  </si>
  <si>
    <t>Deductions</t>
  </si>
  <si>
    <r>
      <t xml:space="preserve">ESI Contribution by employee </t>
    </r>
    <r>
      <rPr>
        <sz val="11"/>
        <color theme="1"/>
        <rFont val="Calibri"/>
        <family val="2"/>
        <scheme val="minor"/>
      </rPr>
      <t>(on gross)</t>
    </r>
  </si>
  <si>
    <r>
      <t xml:space="preserve">Professional Tax (PT) </t>
    </r>
    <r>
      <rPr>
        <sz val="11"/>
        <color theme="1"/>
        <rFont val="Calibri"/>
        <family val="2"/>
        <scheme val="minor"/>
      </rPr>
      <t>(Different for each sate)</t>
    </r>
  </si>
  <si>
    <r>
      <t xml:space="preserve">Security Deposit </t>
    </r>
    <r>
      <rPr>
        <sz val="11"/>
        <color theme="1"/>
        <rFont val="Calibri"/>
        <family val="2"/>
        <scheme val="minor"/>
      </rPr>
      <t>(on Gross)</t>
    </r>
  </si>
  <si>
    <t>Rate</t>
  </si>
  <si>
    <r>
      <t xml:space="preserve">Gratuity Employer Contribution </t>
    </r>
    <r>
      <rPr>
        <sz val="11"/>
        <color theme="1"/>
        <rFont val="Calibri"/>
        <family val="2"/>
        <scheme val="minor"/>
      </rPr>
      <t>(After completion of 5 Years)</t>
    </r>
  </si>
  <si>
    <r>
      <t xml:space="preserve">Total Deduction </t>
    </r>
    <r>
      <rPr>
        <b/>
        <sz val="11"/>
        <color theme="0"/>
        <rFont val="Calibri"/>
        <family val="2"/>
        <scheme val="minor"/>
      </rPr>
      <t>(PF+ESI+PT+Security Deposit)</t>
    </r>
  </si>
  <si>
    <t>Net Salary   (Gross-Total Deductions)</t>
  </si>
  <si>
    <r>
      <t xml:space="preserve">Employer PF contribution </t>
    </r>
    <r>
      <rPr>
        <sz val="11"/>
        <color theme="1"/>
        <rFont val="Calibri"/>
        <family val="2"/>
        <scheme val="minor"/>
      </rPr>
      <t>(calculated on Rs. 15000 as basic)</t>
    </r>
  </si>
  <si>
    <t>CTC = Gross Salary + (Employer PF+ESI+Other Statutory)</t>
  </si>
  <si>
    <t>PF (employer part) is limited to max Rs. 1800/- by assuming Rs. 15000 as basic</t>
  </si>
  <si>
    <t>PF Contribution by Employee</t>
  </si>
  <si>
    <r>
      <t xml:space="preserve">Bonus </t>
    </r>
    <r>
      <rPr>
        <sz val="11"/>
        <color theme="1"/>
        <rFont val="Calibri"/>
        <family val="2"/>
        <scheme val="minor"/>
      </rPr>
      <t>(Applicable after 12 months)</t>
    </r>
  </si>
  <si>
    <t>ESI is calculated if gross salary less than or equal to Rs. 21000</t>
  </si>
  <si>
    <t>FREE Accounts &amp; HR Tools</t>
  </si>
  <si>
    <t>Download more Templates</t>
  </si>
  <si>
    <t>https://TechGuruPlus.com</t>
  </si>
  <si>
    <t>https://eConvert.org</t>
  </si>
  <si>
    <t>Note:</t>
  </si>
  <si>
    <t>Per Year</t>
  </si>
  <si>
    <t>Marriage Biodata Templates</t>
  </si>
  <si>
    <t>Letterhead Templates</t>
  </si>
  <si>
    <t>Salary Increment Offering Letter</t>
  </si>
  <si>
    <t>Accountant Job Application Letter</t>
  </si>
  <si>
    <t>Job CV / Resume Templates</t>
  </si>
  <si>
    <t>Warranty Certificates</t>
  </si>
  <si>
    <t>Salary Increment Request Letter</t>
  </si>
  <si>
    <t>Warning Letter To Employee For Leave</t>
  </si>
  <si>
    <t>Accountant Resume Templates</t>
  </si>
  <si>
    <t>Experience Certificates</t>
  </si>
  <si>
    <t>Employee Job Joining Letter</t>
  </si>
  <si>
    <t>Termination Letter Formats</t>
  </si>
  <si>
    <t>Fresher Resume Templates</t>
  </si>
  <si>
    <t>Medical Certificates</t>
  </si>
  <si>
    <t>Appointment Letter Format</t>
  </si>
  <si>
    <t>Job Application Cover Letter</t>
  </si>
  <si>
    <t>Accountant's Related</t>
  </si>
  <si>
    <t>Invoice Templates</t>
  </si>
  <si>
    <t>Balance Sheet Templates</t>
  </si>
  <si>
    <t>Bank Statement Request Letter</t>
  </si>
  <si>
    <t>Internship Experience Letter</t>
  </si>
  <si>
    <t>Quotation Templates</t>
  </si>
  <si>
    <t>Profit &amp; Loss Templates</t>
  </si>
  <si>
    <t>NOC Letter Format for Bank</t>
  </si>
  <si>
    <t>Sample Holiday Announcement Emails</t>
  </si>
  <si>
    <t>Proforma Invoice Templates</t>
  </si>
  <si>
    <t>Tally Prime TDL</t>
  </si>
  <si>
    <t>NOC Letter Format for GST Registration</t>
  </si>
  <si>
    <t>Resignation Letter</t>
  </si>
  <si>
    <t>Excel Project Files</t>
  </si>
  <si>
    <t>Tally ERP 9 TDL</t>
  </si>
  <si>
    <t>NOC Letter Format for Visa</t>
  </si>
  <si>
    <t>VBA Codes List</t>
  </si>
  <si>
    <t>Salary Slip Templates</t>
  </si>
  <si>
    <t>NOC Letter Format for Vehicle Transfer</t>
  </si>
  <si>
    <t>Computer Operator Resume</t>
  </si>
  <si>
    <t>CTC Calculator in Excel</t>
  </si>
  <si>
    <t>Productive</t>
  </si>
  <si>
    <t>Convert Number to Word</t>
  </si>
  <si>
    <t>PowerPoint Templates</t>
  </si>
  <si>
    <t>Bank Account Closing Letter</t>
  </si>
  <si>
    <t>Stock Management Software</t>
  </si>
  <si>
    <t>Payment Voucher Templates</t>
  </si>
  <si>
    <t>Bonafide Certificate Application Letter</t>
  </si>
  <si>
    <t>Age Calculator</t>
  </si>
  <si>
    <t>Shortcut keys</t>
  </si>
  <si>
    <t>TC Letter Format Word</t>
  </si>
  <si>
    <t>Cheque Printing Software</t>
  </si>
  <si>
    <t>Undertaking Letter Format</t>
  </si>
  <si>
    <t>Internship Offer Letter Word</t>
  </si>
  <si>
    <t>Loan EMI Calculator</t>
  </si>
  <si>
    <t>Rent Agreement Format Word</t>
  </si>
  <si>
    <t>Per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</si>
</sst>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2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2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 val="singleAccounting"/>
      <sz val="14"/>
      <color theme="0"/>
      <name val="Calibri"/>
      <family val="2"/>
      <scheme val="minor"/>
    </font>
    <font>
      <b/>
      <sz val="14"/>
      <color rgb="FFFFFF00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9"/>
      <name val="Times New Roman"/>
    </font>
    <font>
      <sz val="10"/>
      <name val="Calibri "/>
    </font>
    <font>
      <b/>
      <sz val="16"/>
      <color rgb="FFFFFF00"/>
      <name val="Calibri "/>
    </font>
    <font>
      <b/>
      <sz val="10"/>
      <name val="Calibri "/>
    </font>
    <font>
      <sz val="12"/>
      <name val="Calibri "/>
    </font>
    <font>
      <u/>
      <sz val="9"/>
      <color theme="10"/>
      <name val="Times New Roman"/>
      <family val="1"/>
    </font>
    <font>
      <b/>
      <u/>
      <sz val="12"/>
      <color rgb="FF00B050"/>
      <name val="Calibri "/>
    </font>
    <font>
      <b/>
      <sz val="12"/>
      <name val="Calibri "/>
    </font>
    <font>
      <b/>
      <u/>
      <sz val="12"/>
      <color theme="10"/>
      <name val="Calibri "/>
    </font>
    <font>
      <b/>
      <u/>
      <sz val="12"/>
      <color rgb="FFC00000"/>
      <name val="Calibri "/>
    </font>
    <font>
      <b/>
      <u/>
      <sz val="12"/>
      <color theme="4"/>
      <name val="Calibri "/>
    </font>
    <font>
      <b/>
      <sz val="12"/>
      <color rgb="FF00B050"/>
      <name val="Calibri "/>
    </font>
    <font>
      <b/>
      <sz val="12"/>
      <color rgb="FFFFFFFF"/>
      <name val="Calibri "/>
    </font>
    <font>
      <b/>
      <sz val="12"/>
      <color rgb="FFC00000"/>
      <name val="Calibri "/>
    </font>
    <font>
      <b/>
      <sz val="12"/>
      <color theme="4"/>
      <name val="Calibri 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4" fillId="0" borderId="0"/>
    <xf numFmtId="0" fontId="19" fillId="0" borderId="0" applyNumberFormat="0" applyFill="0" applyBorder="0" applyAlignment="0" applyProtection="0"/>
  </cellStyleXfs>
  <cellXfs count="50">
    <xf numFmtId="0" fontId="0" fillId="0" borderId="0" xfId="0"/>
    <xf numFmtId="0" fontId="12" fillId="2" borderId="0" xfId="0" applyFont="1" applyFill="1" applyAlignment="1">
      <alignment vertical="center"/>
    </xf>
    <xf numFmtId="164" fontId="12" fillId="2" borderId="0" xfId="0" applyNumberFormat="1" applyFont="1" applyFill="1" applyAlignment="1">
      <alignment vertical="center"/>
    </xf>
    <xf numFmtId="0" fontId="0" fillId="3" borderId="0" xfId="0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/>
    <xf numFmtId="0" fontId="2" fillId="3" borderId="0" xfId="0" applyFont="1" applyFill="1" applyAlignment="1">
      <alignment horizontal="center"/>
    </xf>
    <xf numFmtId="9" fontId="2" fillId="3" borderId="0" xfId="0" applyNumberFormat="1" applyFont="1" applyFill="1" applyAlignment="1">
      <alignment horizontal="center"/>
    </xf>
    <xf numFmtId="164" fontId="2" fillId="3" borderId="0" xfId="1" applyNumberFormat="1" applyFont="1" applyFill="1"/>
    <xf numFmtId="10" fontId="2" fillId="3" borderId="0" xfId="0" applyNumberFormat="1" applyFont="1" applyFill="1" applyAlignment="1">
      <alignment horizontal="center"/>
    </xf>
    <xf numFmtId="0" fontId="2" fillId="3" borderId="0" xfId="0" applyFont="1" applyFill="1" applyAlignment="1">
      <alignment vertical="center"/>
    </xf>
    <xf numFmtId="0" fontId="2" fillId="3" borderId="0" xfId="0" applyFont="1" applyFill="1" applyAlignment="1">
      <alignment vertical="center" wrapText="1"/>
    </xf>
    <xf numFmtId="10" fontId="2" fillId="3" borderId="0" xfId="0" applyNumberFormat="1" applyFont="1" applyFill="1" applyAlignment="1">
      <alignment horizontal="center" vertical="center"/>
    </xf>
    <xf numFmtId="164" fontId="2" fillId="3" borderId="0" xfId="1" applyNumberFormat="1" applyFont="1" applyFill="1" applyAlignment="1">
      <alignment vertical="center"/>
    </xf>
    <xf numFmtId="10" fontId="0" fillId="3" borderId="0" xfId="0" applyNumberFormat="1" applyFill="1" applyAlignment="1">
      <alignment horizontal="center" wrapText="1"/>
    </xf>
    <xf numFmtId="0" fontId="2" fillId="3" borderId="0" xfId="0" applyFont="1" applyFill="1" applyAlignment="1">
      <alignment horizontal="right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left"/>
    </xf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right"/>
    </xf>
    <xf numFmtId="0" fontId="3" fillId="2" borderId="0" xfId="0" applyFont="1" applyFill="1"/>
    <xf numFmtId="164" fontId="3" fillId="2" borderId="0" xfId="1" applyNumberFormat="1" applyFont="1" applyFill="1"/>
    <xf numFmtId="0" fontId="11" fillId="2" borderId="0" xfId="0" applyFont="1" applyFill="1" applyAlignment="1">
      <alignment horizontal="center"/>
    </xf>
    <xf numFmtId="164" fontId="11" fillId="2" borderId="0" xfId="1" applyNumberFormat="1" applyFont="1" applyFill="1"/>
    <xf numFmtId="0" fontId="10" fillId="4" borderId="0" xfId="0" applyFont="1" applyFill="1"/>
    <xf numFmtId="0" fontId="10" fillId="4" borderId="0" xfId="0" applyFont="1" applyFill="1" applyAlignment="1">
      <alignment horizontal="center"/>
    </xf>
    <xf numFmtId="164" fontId="10" fillId="4" borderId="0" xfId="1" applyNumberFormat="1" applyFont="1" applyFill="1"/>
    <xf numFmtId="10" fontId="10" fillId="4" borderId="0" xfId="0" applyNumberFormat="1" applyFont="1" applyFill="1" applyAlignment="1">
      <alignment horizontal="center"/>
    </xf>
    <xf numFmtId="0" fontId="2" fillId="5" borderId="2" xfId="0" applyFont="1" applyFill="1" applyBorder="1"/>
    <xf numFmtId="0" fontId="6" fillId="5" borderId="2" xfId="2" applyFill="1" applyBorder="1" applyAlignment="1">
      <alignment vertical="center"/>
    </xf>
    <xf numFmtId="0" fontId="6" fillId="5" borderId="2" xfId="2" applyFill="1" applyBorder="1" applyAlignment="1"/>
    <xf numFmtId="0" fontId="13" fillId="3" borderId="0" xfId="0" applyFont="1" applyFill="1"/>
    <xf numFmtId="0" fontId="15" fillId="0" borderId="0" xfId="5" applyFont="1" applyAlignment="1">
      <alignment horizontal="center"/>
    </xf>
    <xf numFmtId="0" fontId="17" fillId="0" borderId="0" xfId="5" applyFont="1"/>
    <xf numFmtId="0" fontId="17" fillId="0" borderId="0" xfId="5" applyFont="1" applyAlignment="1">
      <alignment horizontal="center"/>
    </xf>
    <xf numFmtId="0" fontId="18" fillId="0" borderId="0" xfId="5" applyFont="1" applyAlignment="1">
      <alignment horizontal="center"/>
    </xf>
    <xf numFmtId="0" fontId="20" fillId="0" borderId="0" xfId="6" applyFont="1" applyAlignment="1">
      <alignment horizontal="left" vertical="center"/>
    </xf>
    <xf numFmtId="0" fontId="21" fillId="0" borderId="0" xfId="5" applyFont="1"/>
    <xf numFmtId="0" fontId="22" fillId="0" borderId="0" xfId="6" applyFont="1" applyAlignment="1">
      <alignment horizontal="left" vertical="center"/>
    </xf>
    <xf numFmtId="0" fontId="23" fillId="0" borderId="0" xfId="6" applyFont="1" applyAlignment="1">
      <alignment horizontal="left" vertical="center" indent="1"/>
    </xf>
    <xf numFmtId="0" fontId="24" fillId="0" borderId="0" xfId="6" applyFont="1" applyAlignment="1">
      <alignment horizontal="left" vertical="center" indent="1"/>
    </xf>
    <xf numFmtId="0" fontId="25" fillId="0" borderId="0" xfId="5" applyFont="1" applyAlignment="1">
      <alignment vertical="center"/>
    </xf>
    <xf numFmtId="0" fontId="26" fillId="0" borderId="0" xfId="5" applyFont="1" applyAlignment="1">
      <alignment vertical="center"/>
    </xf>
    <xf numFmtId="0" fontId="27" fillId="0" borderId="0" xfId="5" applyFont="1" applyAlignment="1">
      <alignment horizontal="left"/>
    </xf>
    <xf numFmtId="0" fontId="28" fillId="0" borderId="0" xfId="5" applyFont="1" applyAlignment="1">
      <alignment horizontal="left"/>
    </xf>
    <xf numFmtId="0" fontId="21" fillId="0" borderId="0" xfId="5" applyFont="1" applyAlignment="1">
      <alignment horizontal="left"/>
    </xf>
    <xf numFmtId="0" fontId="17" fillId="0" borderId="0" xfId="5" applyFont="1" applyAlignment="1">
      <alignment horizontal="left"/>
    </xf>
    <xf numFmtId="0" fontId="5" fillId="2" borderId="0" xfId="0" applyFont="1" applyFill="1" applyAlignment="1">
      <alignment horizontal="center"/>
    </xf>
    <xf numFmtId="0" fontId="16" fillId="2" borderId="0" xfId="5" applyFont="1" applyFill="1" applyAlignment="1">
      <alignment horizontal="center" vertical="center"/>
    </xf>
  </cellXfs>
  <cellStyles count="7">
    <cellStyle name="Comma" xfId="1" builtinId="3"/>
    <cellStyle name="Hyperlink" xfId="2" builtinId="8"/>
    <cellStyle name="Hyperlink 2" xfId="3" xr:uid="{BF0A110D-3642-4259-A97B-7BBB1D2C7CDA}"/>
    <cellStyle name="Hyperlink 3" xfId="6" xr:uid="{2D4897FD-0EED-4F41-9073-940DF4B48BCD}"/>
    <cellStyle name="Normal" xfId="0" builtinId="0"/>
    <cellStyle name="Normal 2" xfId="4" xr:uid="{5E6343D2-972C-43D1-BC05-AE688F7646F4}"/>
    <cellStyle name="Normal 3" xfId="5" xr:uid="{C66EC43E-18DD-49B1-84E7-2C81EA47CEE7}"/>
  </cellStyles>
  <dxfs count="0"/>
  <tableStyles count="0" defaultTableStyle="TableStyleMedium2" defaultPivotStyle="PivotStyleLight16"/>
  <colors>
    <mruColors>
      <color rgb="FFFFFA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econvert.org/" TargetMode="External"/><Relationship Id="rId1" Type="http://schemas.openxmlformats.org/officeDocument/2006/relationships/hyperlink" Target="https://techguruplus.com/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techguruplus.com/age-calculator-in-excel-xls-file-download/" TargetMode="External"/><Relationship Id="rId18" Type="http://schemas.openxmlformats.org/officeDocument/2006/relationships/hyperlink" Target="https://techguruplus.com/experience-certificate-word-templates/" TargetMode="External"/><Relationship Id="rId26" Type="http://schemas.openxmlformats.org/officeDocument/2006/relationships/hyperlink" Target="https://techguruplus.com/powerpoint-templates-ppt/" TargetMode="External"/><Relationship Id="rId39" Type="http://schemas.openxmlformats.org/officeDocument/2006/relationships/hyperlink" Target="https://techguruplus.com/undertaking-letter-format-download-in-word-docx/" TargetMode="External"/><Relationship Id="rId3" Type="http://schemas.openxmlformats.org/officeDocument/2006/relationships/hyperlink" Target="https://techguruplus.com/accountant-resume-word-docx-download/" TargetMode="External"/><Relationship Id="rId21" Type="http://schemas.openxmlformats.org/officeDocument/2006/relationships/hyperlink" Target="https://techguruplus.com/profit-loss-excel-templates/" TargetMode="External"/><Relationship Id="rId34" Type="http://schemas.openxmlformats.org/officeDocument/2006/relationships/hyperlink" Target="https://techguruplus.com/top-5-bank-statement-request-letter-format-download-in-word-docx/" TargetMode="External"/><Relationship Id="rId42" Type="http://schemas.openxmlformats.org/officeDocument/2006/relationships/hyperlink" Target="https://techguruplus.com/tc-letter-format-to-be-issued-to-student-word/" TargetMode="External"/><Relationship Id="rId47" Type="http://schemas.openxmlformats.org/officeDocument/2006/relationships/hyperlink" Target="https://techguruplus.com/termination-letter-formats-for-absconding-employees-in-word/" TargetMode="External"/><Relationship Id="rId50" Type="http://schemas.openxmlformats.org/officeDocument/2006/relationships/hyperlink" Target="https://techguruplus.com/sample-holiday-announcement-emails-to-employees/" TargetMode="External"/><Relationship Id="rId7" Type="http://schemas.openxmlformats.org/officeDocument/2006/relationships/hyperlink" Target="https://techguruplus.com/quotation-format/" TargetMode="External"/><Relationship Id="rId12" Type="http://schemas.openxmlformats.org/officeDocument/2006/relationships/hyperlink" Target="https://techguruplus.com/stock-management-software/" TargetMode="External"/><Relationship Id="rId17" Type="http://schemas.openxmlformats.org/officeDocument/2006/relationships/hyperlink" Target="https://techguruplus.com/warranty-certificate-templates/" TargetMode="External"/><Relationship Id="rId25" Type="http://schemas.openxmlformats.org/officeDocument/2006/relationships/hyperlink" Target="https://techguruplus.com/ctc-calculator-in-excel/" TargetMode="External"/><Relationship Id="rId33" Type="http://schemas.openxmlformats.org/officeDocument/2006/relationships/hyperlink" Target="https://techguruplus.com/resignation-letter-templates/" TargetMode="External"/><Relationship Id="rId38" Type="http://schemas.openxmlformats.org/officeDocument/2006/relationships/hyperlink" Target="https://techguruplus.com/noc-letter-format-for-vehicle-transfer-download-in-word-docx/" TargetMode="External"/><Relationship Id="rId46" Type="http://schemas.openxmlformats.org/officeDocument/2006/relationships/hyperlink" Target="https://techguruplus.com/warning-letter-to-employee-for-leave-without-permission-in-word/" TargetMode="External"/><Relationship Id="rId2" Type="http://schemas.openxmlformats.org/officeDocument/2006/relationships/hyperlink" Target="https://techguruplus.com/resume-cv-format-download-word-pdf/" TargetMode="External"/><Relationship Id="rId16" Type="http://schemas.openxmlformats.org/officeDocument/2006/relationships/hyperlink" Target="https://techguruplus.com/letterhead-templates/" TargetMode="External"/><Relationship Id="rId20" Type="http://schemas.openxmlformats.org/officeDocument/2006/relationships/hyperlink" Target="https://techguruplus.com/balance-sheet-excel-templates/" TargetMode="External"/><Relationship Id="rId29" Type="http://schemas.openxmlformats.org/officeDocument/2006/relationships/hyperlink" Target="https://techguruplus.com/salary-increment-letter-format-download-word/" TargetMode="External"/><Relationship Id="rId41" Type="http://schemas.openxmlformats.org/officeDocument/2006/relationships/hyperlink" Target="https://techguruplus.com/bonafide-certificate-application-request-letter-format-word/" TargetMode="External"/><Relationship Id="rId1" Type="http://schemas.openxmlformats.org/officeDocument/2006/relationships/hyperlink" Target="https://techguruplus.com/bio-data/" TargetMode="External"/><Relationship Id="rId6" Type="http://schemas.openxmlformats.org/officeDocument/2006/relationships/hyperlink" Target="https://techguruplus.com/download-top-30-invoice-format-in-excel-xls/" TargetMode="External"/><Relationship Id="rId11" Type="http://schemas.openxmlformats.org/officeDocument/2006/relationships/hyperlink" Target="https://techguruplus.com/tools/number-to-word/" TargetMode="External"/><Relationship Id="rId24" Type="http://schemas.openxmlformats.org/officeDocument/2006/relationships/hyperlink" Target="https://techguruplus.com/salary-slip-format-in-excel/" TargetMode="External"/><Relationship Id="rId32" Type="http://schemas.openxmlformats.org/officeDocument/2006/relationships/hyperlink" Target="https://techguruplus.com/appointment-letter-format-download-in-word-docx/" TargetMode="External"/><Relationship Id="rId37" Type="http://schemas.openxmlformats.org/officeDocument/2006/relationships/hyperlink" Target="https://techguruplus.com/noc-letter-format-for-visa-download-in-word-docx/" TargetMode="External"/><Relationship Id="rId40" Type="http://schemas.openxmlformats.org/officeDocument/2006/relationships/hyperlink" Target="https://techguruplus.com/bank-account-closing-letter-format/" TargetMode="External"/><Relationship Id="rId45" Type="http://schemas.openxmlformats.org/officeDocument/2006/relationships/hyperlink" Target="https://techguruplus.com/job-application-letter-for-the-post-of-accountant/" TargetMode="External"/><Relationship Id="rId5" Type="http://schemas.openxmlformats.org/officeDocument/2006/relationships/hyperlink" Target="https://techguruplus.com/computer-operator-resume-cv-templates/" TargetMode="External"/><Relationship Id="rId15" Type="http://schemas.openxmlformats.org/officeDocument/2006/relationships/hyperlink" Target="https://techguruplus.com/loan-emi-calculator-in-excel/" TargetMode="External"/><Relationship Id="rId23" Type="http://schemas.openxmlformats.org/officeDocument/2006/relationships/hyperlink" Target="https://techguruplus.com/tdl" TargetMode="External"/><Relationship Id="rId28" Type="http://schemas.openxmlformats.org/officeDocument/2006/relationships/hyperlink" Target="https://techguruplus.com/category/shortcut-keys-of-all-softwares/" TargetMode="External"/><Relationship Id="rId36" Type="http://schemas.openxmlformats.org/officeDocument/2006/relationships/hyperlink" Target="https://techguruplus.com/noc-letter-format-for-gst-registration-download-in-word-docx/" TargetMode="External"/><Relationship Id="rId49" Type="http://schemas.openxmlformats.org/officeDocument/2006/relationships/hyperlink" Target="https://techguruplus.com/internship-experience-letter-templates-in-word/" TargetMode="External"/><Relationship Id="rId10" Type="http://schemas.openxmlformats.org/officeDocument/2006/relationships/hyperlink" Target="https://techguruplus.com/excel-vba-code/" TargetMode="External"/><Relationship Id="rId19" Type="http://schemas.openxmlformats.org/officeDocument/2006/relationships/hyperlink" Target="https://techguruplus.com/medical-certificate/" TargetMode="External"/><Relationship Id="rId31" Type="http://schemas.openxmlformats.org/officeDocument/2006/relationships/hyperlink" Target="https://techguruplus.com/employee-job-joining-letter-format-download-in-word-docx/" TargetMode="External"/><Relationship Id="rId44" Type="http://schemas.openxmlformats.org/officeDocument/2006/relationships/hyperlink" Target="https://techguruplus.com/rent-agreement-format-in-word/" TargetMode="External"/><Relationship Id="rId4" Type="http://schemas.openxmlformats.org/officeDocument/2006/relationships/hyperlink" Target="https://techguruplus.com/fresher-resume-format/" TargetMode="External"/><Relationship Id="rId9" Type="http://schemas.openxmlformats.org/officeDocument/2006/relationships/hyperlink" Target="https://techguruplus.com/excel-project-practice-files-download/" TargetMode="External"/><Relationship Id="rId14" Type="http://schemas.openxmlformats.org/officeDocument/2006/relationships/hyperlink" Target="https://techguruplus.com/cheque-printing-format-in-excel-free-download-xls-file-download/" TargetMode="External"/><Relationship Id="rId22" Type="http://schemas.openxmlformats.org/officeDocument/2006/relationships/hyperlink" Target="https://techguruplus.com/tally-prime-tdl/" TargetMode="External"/><Relationship Id="rId27" Type="http://schemas.openxmlformats.org/officeDocument/2006/relationships/hyperlink" Target="https://techguruplus.com/payment-voucher-excel-templates/" TargetMode="External"/><Relationship Id="rId30" Type="http://schemas.openxmlformats.org/officeDocument/2006/relationships/hyperlink" Target="https://techguruplus.com/salary-increment-request-letter-format/" TargetMode="External"/><Relationship Id="rId35" Type="http://schemas.openxmlformats.org/officeDocument/2006/relationships/hyperlink" Target="https://techguruplus.com/noc-letter-format-for-bank-download-in-word-docx/" TargetMode="External"/><Relationship Id="rId43" Type="http://schemas.openxmlformats.org/officeDocument/2006/relationships/hyperlink" Target="https://techguruplus.com/internship-offer-letter-format-word/" TargetMode="External"/><Relationship Id="rId48" Type="http://schemas.openxmlformats.org/officeDocument/2006/relationships/hyperlink" Target="https://techguruplus.com/cover-letter-samples-for-job-application-in-word-format/" TargetMode="External"/><Relationship Id="rId8" Type="http://schemas.openxmlformats.org/officeDocument/2006/relationships/hyperlink" Target="https://techguruplus.com/proforma-invoice/" TargetMode="External"/><Relationship Id="rId51" Type="http://schemas.openxmlformats.org/officeDocument/2006/relationships/hyperlink" Target="https://techguruplus.com/bank-account-closing-letter-forma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40"/>
  <sheetViews>
    <sheetView showGridLines="0" tabSelected="1" workbookViewId="0">
      <selection activeCell="D9" sqref="D9"/>
    </sheetView>
  </sheetViews>
  <sheetFormatPr defaultRowHeight="18"/>
  <cols>
    <col min="1" max="1" width="8.88671875" style="5"/>
    <col min="2" max="2" width="65.44140625" style="5" bestFit="1" customWidth="1"/>
    <col min="3" max="3" width="55.109375" style="6" bestFit="1" customWidth="1"/>
    <col min="4" max="4" width="13.88671875" style="5" customWidth="1"/>
    <col min="5" max="5" width="7.33203125" style="5" bestFit="1" customWidth="1"/>
    <col min="6" max="6" width="16.88671875" style="5" customWidth="1"/>
    <col min="7" max="16384" width="8.88671875" style="5"/>
  </cols>
  <sheetData>
    <row r="1" spans="2:6" ht="7.2" customHeight="1"/>
    <row r="2" spans="2:6" ht="28.8">
      <c r="B2" s="48" t="s">
        <v>2</v>
      </c>
      <c r="C2" s="48"/>
      <c r="D2" s="48"/>
      <c r="E2" s="48"/>
      <c r="F2" s="48"/>
    </row>
    <row r="3" spans="2:6" ht="8.4" customHeight="1"/>
    <row r="4" spans="2:6" ht="30.6" customHeight="1" thickBot="1">
      <c r="B4" s="16" t="s">
        <v>0</v>
      </c>
      <c r="C4" s="17">
        <v>45000</v>
      </c>
    </row>
    <row r="5" spans="2:6" ht="18.600000000000001" thickTop="1"/>
    <row r="7" spans="2:6" s="15" customFormat="1">
      <c r="B7" s="18" t="s">
        <v>1</v>
      </c>
      <c r="C7" s="19" t="s">
        <v>21</v>
      </c>
      <c r="D7" s="20" t="s">
        <v>89</v>
      </c>
      <c r="E7" s="20"/>
      <c r="F7" s="20" t="s">
        <v>36</v>
      </c>
    </row>
    <row r="8" spans="2:6">
      <c r="B8" s="5" t="s">
        <v>5</v>
      </c>
      <c r="C8" s="7">
        <v>0.5</v>
      </c>
      <c r="D8" s="8">
        <f>C4*C8</f>
        <v>22500</v>
      </c>
      <c r="E8" s="8"/>
      <c r="F8" s="8">
        <f>D8*12</f>
        <v>270000</v>
      </c>
    </row>
    <row r="9" spans="2:6">
      <c r="B9" s="5" t="s">
        <v>15</v>
      </c>
      <c r="C9" s="7">
        <v>0.5</v>
      </c>
      <c r="D9" s="8">
        <f>D8*C9</f>
        <v>11250</v>
      </c>
      <c r="E9" s="8"/>
      <c r="F9" s="8">
        <f t="shared" ref="F9:F26" si="0">D9*12</f>
        <v>135000</v>
      </c>
    </row>
    <row r="10" spans="2:6">
      <c r="B10" s="5" t="s">
        <v>7</v>
      </c>
      <c r="C10" s="6" t="s">
        <v>6</v>
      </c>
      <c r="D10" s="8">
        <v>1250</v>
      </c>
      <c r="E10" s="8"/>
      <c r="F10" s="8">
        <f t="shared" si="0"/>
        <v>15000</v>
      </c>
    </row>
    <row r="11" spans="2:6">
      <c r="B11" s="5" t="s">
        <v>3</v>
      </c>
      <c r="C11" s="6" t="s">
        <v>6</v>
      </c>
      <c r="D11" s="8">
        <v>1250</v>
      </c>
      <c r="E11" s="8"/>
      <c r="F11" s="8">
        <f t="shared" si="0"/>
        <v>15000</v>
      </c>
    </row>
    <row r="12" spans="2:6">
      <c r="B12" s="5" t="s">
        <v>14</v>
      </c>
      <c r="D12" s="8">
        <f>C4-SUM(D8:D11)</f>
        <v>8750</v>
      </c>
      <c r="E12" s="8"/>
      <c r="F12" s="8">
        <f t="shared" si="0"/>
        <v>105000</v>
      </c>
    </row>
    <row r="13" spans="2:6">
      <c r="B13" s="21" t="s">
        <v>4</v>
      </c>
      <c r="C13" s="19"/>
      <c r="D13" s="22">
        <f>SUM(D8:D12)</f>
        <v>45000</v>
      </c>
      <c r="E13" s="22"/>
      <c r="F13" s="22">
        <f>SUM(F8:F12)</f>
        <v>540000</v>
      </c>
    </row>
    <row r="14" spans="2:6">
      <c r="B14" s="5" t="s">
        <v>13</v>
      </c>
      <c r="C14" s="6" t="s">
        <v>6</v>
      </c>
      <c r="D14" s="8">
        <v>0</v>
      </c>
      <c r="E14" s="8"/>
      <c r="F14" s="8">
        <f>D14*12</f>
        <v>0</v>
      </c>
    </row>
    <row r="15" spans="2:6">
      <c r="B15" s="5" t="s">
        <v>12</v>
      </c>
      <c r="C15" s="6" t="s">
        <v>6</v>
      </c>
      <c r="D15" s="8">
        <v>0</v>
      </c>
      <c r="E15" s="8"/>
      <c r="F15" s="8">
        <f>D15*12</f>
        <v>0</v>
      </c>
    </row>
    <row r="16" spans="2:6">
      <c r="B16" s="25" t="s">
        <v>8</v>
      </c>
      <c r="C16" s="26"/>
      <c r="D16" s="27">
        <f>SUM(D13:D15)</f>
        <v>45000</v>
      </c>
      <c r="E16" s="27"/>
      <c r="F16" s="27">
        <f>SUM(F13:F15)</f>
        <v>540000</v>
      </c>
    </row>
    <row r="17" spans="2:6">
      <c r="B17" s="5" t="s">
        <v>25</v>
      </c>
      <c r="C17" s="7">
        <v>0.12</v>
      </c>
      <c r="D17" s="8">
        <f>IF(ROUND(D8*C17,0)&gt;=1800,1800,(ROUND(D8*C17,0)))</f>
        <v>1800</v>
      </c>
      <c r="E17" s="8"/>
      <c r="F17" s="8">
        <f t="shared" ref="F17:F22" si="1">D17*12</f>
        <v>21600</v>
      </c>
    </row>
    <row r="18" spans="2:6">
      <c r="B18" s="5" t="s">
        <v>9</v>
      </c>
      <c r="C18" s="9">
        <v>3.2500000000000001E-2</v>
      </c>
      <c r="D18" s="8">
        <f>IF(D13&lt;=21000,D8*C18,0)</f>
        <v>0</v>
      </c>
      <c r="E18" s="8"/>
      <c r="F18" s="8">
        <f t="shared" si="1"/>
        <v>0</v>
      </c>
    </row>
    <row r="19" spans="2:6" s="10" customFormat="1">
      <c r="B19" s="11" t="s">
        <v>22</v>
      </c>
      <c r="C19" s="12">
        <v>4.8099999999999997E-2</v>
      </c>
      <c r="D19" s="13">
        <f>D8*C19</f>
        <v>1082.25</v>
      </c>
      <c r="E19" s="13"/>
      <c r="F19" s="13">
        <f t="shared" si="1"/>
        <v>12987</v>
      </c>
    </row>
    <row r="20" spans="2:6">
      <c r="B20" s="5" t="s">
        <v>29</v>
      </c>
      <c r="C20" s="9">
        <v>8.3299999999999999E-2</v>
      </c>
      <c r="D20" s="8">
        <f>D8*C20</f>
        <v>1874.25</v>
      </c>
      <c r="E20" s="8"/>
      <c r="F20" s="13">
        <f t="shared" si="1"/>
        <v>22491</v>
      </c>
    </row>
    <row r="21" spans="2:6">
      <c r="B21" s="5" t="s">
        <v>10</v>
      </c>
      <c r="C21" s="14"/>
      <c r="D21" s="8">
        <v>299</v>
      </c>
      <c r="E21" s="8"/>
      <c r="F21" s="13">
        <f t="shared" si="1"/>
        <v>3588</v>
      </c>
    </row>
    <row r="22" spans="2:6">
      <c r="B22" s="5" t="s">
        <v>11</v>
      </c>
      <c r="C22" s="14"/>
      <c r="D22" s="8">
        <v>600</v>
      </c>
      <c r="E22" s="8"/>
      <c r="F22" s="13">
        <f t="shared" si="1"/>
        <v>7200</v>
      </c>
    </row>
    <row r="23" spans="2:6">
      <c r="B23" s="25" t="s">
        <v>26</v>
      </c>
      <c r="C23" s="28"/>
      <c r="D23" s="27">
        <f>SUM(D16:D22)</f>
        <v>50655.5</v>
      </c>
      <c r="E23" s="27"/>
      <c r="F23" s="27">
        <f>SUM(F16:F22)</f>
        <v>607866</v>
      </c>
    </row>
    <row r="24" spans="2:6">
      <c r="C24" s="5"/>
    </row>
    <row r="25" spans="2:6" ht="21.6">
      <c r="B25" s="21" t="s">
        <v>17</v>
      </c>
      <c r="C25" s="23"/>
      <c r="D25" s="24"/>
      <c r="E25" s="24"/>
      <c r="F25" s="24"/>
    </row>
    <row r="26" spans="2:6">
      <c r="B26" s="5" t="s">
        <v>28</v>
      </c>
      <c r="C26" s="7">
        <v>0.12</v>
      </c>
      <c r="D26" s="8">
        <f>IF(ROUND(D8*C17,0)&gt;=1800,1800,(ROUND(D8*C17,0)))</f>
        <v>1800</v>
      </c>
      <c r="E26" s="8"/>
      <c r="F26" s="8">
        <f t="shared" si="0"/>
        <v>21600</v>
      </c>
    </row>
    <row r="27" spans="2:6">
      <c r="B27" s="5" t="s">
        <v>18</v>
      </c>
      <c r="C27" s="9">
        <v>7.4999999999999997E-3</v>
      </c>
      <c r="D27" s="8">
        <f>IF(D13&lt;=21000,D8*C27,0)</f>
        <v>0</v>
      </c>
      <c r="E27" s="8"/>
      <c r="F27" s="8">
        <f>D27*12</f>
        <v>0</v>
      </c>
    </row>
    <row r="28" spans="2:6">
      <c r="B28" s="5" t="s">
        <v>19</v>
      </c>
      <c r="C28" s="6" t="s">
        <v>16</v>
      </c>
      <c r="D28" s="8">
        <v>200</v>
      </c>
      <c r="E28" s="8"/>
      <c r="F28" s="8">
        <f>D28*12</f>
        <v>2400</v>
      </c>
    </row>
    <row r="29" spans="2:6">
      <c r="B29" s="5" t="s">
        <v>20</v>
      </c>
      <c r="C29" s="7">
        <v>0.02</v>
      </c>
      <c r="D29" s="8">
        <f>D13*C29</f>
        <v>900</v>
      </c>
      <c r="E29" s="8"/>
      <c r="F29" s="8">
        <f>D29*12</f>
        <v>10800</v>
      </c>
    </row>
    <row r="30" spans="2:6">
      <c r="B30" s="21" t="s">
        <v>23</v>
      </c>
      <c r="C30" s="19"/>
      <c r="D30" s="22">
        <f>SUM(D26:D29)</f>
        <v>2900</v>
      </c>
      <c r="E30" s="22"/>
      <c r="F30" s="22">
        <f>SUM(F26:F29)</f>
        <v>34800</v>
      </c>
    </row>
    <row r="31" spans="2:6" ht="8.4" customHeight="1"/>
    <row r="32" spans="2:6">
      <c r="B32" s="1" t="s">
        <v>24</v>
      </c>
      <c r="C32" s="1"/>
      <c r="D32" s="2">
        <f>D13-D30</f>
        <v>42100</v>
      </c>
      <c r="E32" s="1"/>
      <c r="F32" s="2">
        <f>F13-F30</f>
        <v>505200</v>
      </c>
    </row>
    <row r="33" spans="2:5">
      <c r="C33" s="5"/>
    </row>
    <row r="34" spans="2:5">
      <c r="B34" s="32" t="s">
        <v>35</v>
      </c>
    </row>
    <row r="35" spans="2:5" s="4" customFormat="1">
      <c r="B35" s="3" t="s">
        <v>27</v>
      </c>
    </row>
    <row r="36" spans="2:5" s="4" customFormat="1">
      <c r="B36" s="3" t="s">
        <v>30</v>
      </c>
    </row>
    <row r="37" spans="2:5" s="4" customFormat="1">
      <c r="B37" s="3"/>
    </row>
    <row r="38" spans="2:5" s="4" customFormat="1"/>
    <row r="39" spans="2:5">
      <c r="B39" s="29" t="s">
        <v>32</v>
      </c>
      <c r="C39" s="30" t="s">
        <v>33</v>
      </c>
      <c r="D39" s="4"/>
      <c r="E39" s="4"/>
    </row>
    <row r="40" spans="2:5">
      <c r="B40" s="29" t="s">
        <v>31</v>
      </c>
      <c r="C40" s="31" t="s">
        <v>34</v>
      </c>
    </row>
  </sheetData>
  <mergeCells count="1">
    <mergeCell ref="B2:F2"/>
  </mergeCells>
  <hyperlinks>
    <hyperlink ref="C39" r:id="rId1" xr:uid="{2CA589DB-0C5A-4E2B-855C-D88B7D529687}"/>
    <hyperlink ref="C40" r:id="rId2" xr:uid="{EF4F5E4C-EB99-4F95-91A1-48FF35D2E09D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227CE-B444-4A55-A6D9-1CAF9109125E}">
  <dimension ref="A1:H19"/>
  <sheetViews>
    <sheetView showGridLines="0" zoomScaleNormal="100" workbookViewId="0">
      <selection activeCell="H13" sqref="H13"/>
    </sheetView>
  </sheetViews>
  <sheetFormatPr defaultRowHeight="13.2"/>
  <cols>
    <col min="1" max="1" width="8.88671875" style="33"/>
    <col min="2" max="2" width="24.88671875" style="34" bestFit="1" customWidth="1"/>
    <col min="3" max="3" width="8.88671875" style="34"/>
    <col min="4" max="4" width="23.5546875" style="34" bestFit="1" customWidth="1"/>
    <col min="5" max="5" width="8.88671875" style="34"/>
    <col min="6" max="6" width="34.44140625" style="47" bestFit="1" customWidth="1"/>
    <col min="7" max="7" width="11" style="34" customWidth="1"/>
    <col min="8" max="8" width="33.33203125" style="47" bestFit="1" customWidth="1"/>
    <col min="9" max="16384" width="8.88671875" style="34"/>
  </cols>
  <sheetData>
    <row r="1" spans="1:8" ht="27.6" customHeight="1">
      <c r="B1" s="49" t="s">
        <v>32</v>
      </c>
      <c r="C1" s="49"/>
      <c r="D1" s="49"/>
      <c r="E1" s="49"/>
      <c r="F1" s="49"/>
      <c r="G1" s="49"/>
      <c r="H1" s="49"/>
    </row>
    <row r="2" spans="1:8">
      <c r="B2" s="35"/>
      <c r="C2" s="35"/>
      <c r="D2" s="35"/>
      <c r="E2" s="35"/>
      <c r="F2" s="35"/>
      <c r="G2" s="35"/>
      <c r="H2" s="35"/>
    </row>
    <row r="3" spans="1:8" s="38" customFormat="1" ht="15.6">
      <c r="A3" s="36">
        <v>1</v>
      </c>
      <c r="B3" s="37" t="s">
        <v>37</v>
      </c>
      <c r="D3" s="39" t="s">
        <v>38</v>
      </c>
      <c r="F3" s="40" t="s">
        <v>39</v>
      </c>
      <c r="H3" s="41" t="s">
        <v>40</v>
      </c>
    </row>
    <row r="4" spans="1:8" s="38" customFormat="1" ht="15.6">
      <c r="A4" s="36">
        <v>2</v>
      </c>
      <c r="B4" s="37" t="s">
        <v>41</v>
      </c>
      <c r="D4" s="39" t="s">
        <v>42</v>
      </c>
      <c r="F4" s="40" t="s">
        <v>43</v>
      </c>
      <c r="H4" s="41" t="s">
        <v>44</v>
      </c>
    </row>
    <row r="5" spans="1:8" s="38" customFormat="1" ht="15.6">
      <c r="A5" s="36">
        <v>3</v>
      </c>
      <c r="B5" s="37" t="s">
        <v>45</v>
      </c>
      <c r="D5" s="39" t="s">
        <v>46</v>
      </c>
      <c r="F5" s="40" t="s">
        <v>47</v>
      </c>
      <c r="H5" s="41" t="s">
        <v>48</v>
      </c>
    </row>
    <row r="6" spans="1:8" s="38" customFormat="1" ht="15.6">
      <c r="A6" s="36">
        <v>4</v>
      </c>
      <c r="B6" s="37" t="s">
        <v>49</v>
      </c>
      <c r="D6" s="39" t="s">
        <v>50</v>
      </c>
      <c r="F6" s="40" t="s">
        <v>51</v>
      </c>
      <c r="H6" s="41" t="s">
        <v>52</v>
      </c>
    </row>
    <row r="7" spans="1:8" s="38" customFormat="1" ht="15.6">
      <c r="A7" s="36"/>
      <c r="B7" s="42"/>
      <c r="D7" s="43" t="s">
        <v>53</v>
      </c>
      <c r="F7" s="44"/>
      <c r="H7" s="45"/>
    </row>
    <row r="8" spans="1:8" s="38" customFormat="1" ht="15.6">
      <c r="A8" s="36">
        <v>5</v>
      </c>
      <c r="B8" s="37" t="s">
        <v>54</v>
      </c>
      <c r="D8" s="39" t="s">
        <v>55</v>
      </c>
      <c r="F8" s="40" t="s">
        <v>56</v>
      </c>
      <c r="H8" s="41" t="s">
        <v>57</v>
      </c>
    </row>
    <row r="9" spans="1:8" s="38" customFormat="1" ht="15.6">
      <c r="A9" s="36">
        <v>6</v>
      </c>
      <c r="B9" s="37" t="s">
        <v>58</v>
      </c>
      <c r="D9" s="39" t="s">
        <v>59</v>
      </c>
      <c r="F9" s="40" t="s">
        <v>60</v>
      </c>
      <c r="H9" s="41" t="s">
        <v>61</v>
      </c>
    </row>
    <row r="10" spans="1:8" s="38" customFormat="1" ht="15.6">
      <c r="A10" s="36">
        <v>7</v>
      </c>
      <c r="B10" s="37" t="s">
        <v>62</v>
      </c>
      <c r="D10" s="39" t="s">
        <v>63</v>
      </c>
      <c r="F10" s="40" t="s">
        <v>64</v>
      </c>
      <c r="H10" s="41" t="s">
        <v>65</v>
      </c>
    </row>
    <row r="11" spans="1:8" s="38" customFormat="1" ht="15.6">
      <c r="A11" s="36">
        <v>8</v>
      </c>
      <c r="B11" s="37" t="s">
        <v>66</v>
      </c>
      <c r="D11" s="39" t="s">
        <v>67</v>
      </c>
      <c r="F11" s="40" t="s">
        <v>68</v>
      </c>
      <c r="H11" s="45"/>
    </row>
    <row r="12" spans="1:8" s="38" customFormat="1" ht="15.6">
      <c r="A12" s="36">
        <v>9</v>
      </c>
      <c r="B12" s="37" t="s">
        <v>69</v>
      </c>
      <c r="D12" s="39" t="s">
        <v>70</v>
      </c>
      <c r="F12" s="40" t="s">
        <v>71</v>
      </c>
      <c r="H12" s="46"/>
    </row>
    <row r="13" spans="1:8" s="38" customFormat="1" ht="15.6">
      <c r="A13" s="36">
        <v>10</v>
      </c>
      <c r="B13" s="37" t="s">
        <v>72</v>
      </c>
      <c r="D13" s="39" t="s">
        <v>73</v>
      </c>
      <c r="F13" s="44"/>
      <c r="H13" s="46"/>
    </row>
    <row r="14" spans="1:8" s="38" customFormat="1" ht="15.6">
      <c r="A14" s="36"/>
      <c r="B14" s="42"/>
      <c r="D14" s="43" t="s">
        <v>74</v>
      </c>
      <c r="F14" s="44"/>
      <c r="H14" s="46"/>
    </row>
    <row r="15" spans="1:8" s="38" customFormat="1" ht="15.6">
      <c r="A15" s="36">
        <v>11</v>
      </c>
      <c r="B15" s="37" t="s">
        <v>75</v>
      </c>
      <c r="D15" s="39" t="s">
        <v>76</v>
      </c>
      <c r="F15" s="40" t="s">
        <v>77</v>
      </c>
      <c r="H15" s="46"/>
    </row>
    <row r="16" spans="1:8" s="38" customFormat="1" ht="15.6">
      <c r="A16" s="36">
        <v>12</v>
      </c>
      <c r="B16" s="37" t="s">
        <v>78</v>
      </c>
      <c r="D16" s="39" t="s">
        <v>79</v>
      </c>
      <c r="F16" s="40" t="s">
        <v>80</v>
      </c>
      <c r="H16" s="46"/>
    </row>
    <row r="17" spans="1:8" s="38" customFormat="1" ht="15.6">
      <c r="A17" s="36">
        <v>13</v>
      </c>
      <c r="B17" s="37" t="s">
        <v>81</v>
      </c>
      <c r="D17" s="39" t="s">
        <v>82</v>
      </c>
      <c r="F17" s="40" t="s">
        <v>83</v>
      </c>
      <c r="H17" s="46"/>
    </row>
    <row r="18" spans="1:8" s="38" customFormat="1" ht="15.6">
      <c r="A18" s="36">
        <v>14</v>
      </c>
      <c r="B18" s="37" t="s">
        <v>84</v>
      </c>
      <c r="D18" s="39" t="s">
        <v>85</v>
      </c>
      <c r="F18" s="40" t="s">
        <v>86</v>
      </c>
      <c r="H18" s="46"/>
    </row>
    <row r="19" spans="1:8" s="38" customFormat="1" ht="15.6">
      <c r="A19" s="36">
        <v>15</v>
      </c>
      <c r="B19" s="37" t="s">
        <v>87</v>
      </c>
      <c r="D19" s="39" t="s">
        <v>77</v>
      </c>
      <c r="F19" s="40" t="s">
        <v>88</v>
      </c>
      <c r="H19" s="46"/>
    </row>
  </sheetData>
  <mergeCells count="1">
    <mergeCell ref="B1:H1"/>
  </mergeCells>
  <hyperlinks>
    <hyperlink ref="B3" r:id="rId1" display="https://techguruplus.com/bio-data/" xr:uid="{9D84CE3F-59BF-4A6A-A816-45A4F7CD6168}"/>
    <hyperlink ref="B4" r:id="rId2" display="https://techguruplus.com/resume-cv-format-download-word-pdf/" xr:uid="{B458AB4E-9ECC-4439-8D56-693C3154A551}"/>
    <hyperlink ref="B5" r:id="rId3" display="https://techguruplus.com/accountant-resume-word-docx-download/" xr:uid="{C420DFC3-11BF-4198-AFBA-B22B8CEED8A9}"/>
    <hyperlink ref="B6" r:id="rId4" display="https://techguruplus.com/fresher-resume-format/" xr:uid="{0BE23560-9A29-48AF-AF17-7209CA05E48C}"/>
    <hyperlink ref="B13" r:id="rId5" display="https://techguruplus.com/computer-operator-resume-cv-templates/" xr:uid="{6E8B9850-D094-4CA8-8D6F-A3EBA74C0362}"/>
    <hyperlink ref="B8" r:id="rId6" display="https://techguruplus.com/download-top-30-invoice-format-in-excel-xls/" xr:uid="{C87474E5-72EF-464D-B1B3-B1834C426626}"/>
    <hyperlink ref="B9" r:id="rId7" display="https://techguruplus.com/quotation-format/" xr:uid="{EE91CF5C-CA85-43EB-B3B9-F04254B0B48F}"/>
    <hyperlink ref="B10" r:id="rId8" display="https://techguruplus.com/proforma-invoice/" xr:uid="{735F9A6F-831D-4D9F-83F2-6066FEC0D3DB}"/>
    <hyperlink ref="B11" r:id="rId9" display="https://techguruplus.com/excel-project-practice-files-download/" xr:uid="{8D37FF61-1CEA-48AB-A5DF-2DBDAE414249}"/>
    <hyperlink ref="B12" r:id="rId10" display="https://techguruplus.com/excel-vba-code/" xr:uid="{8F889EFC-B00A-4262-8CBC-0921BE1CD31A}"/>
    <hyperlink ref="B15" r:id="rId11" display="https://techguruplus.com/tools/number-to-word/" xr:uid="{D5F035F3-74A3-417E-8376-50AB25C5F3C9}"/>
    <hyperlink ref="B16" r:id="rId12" display="https://techguruplus.com/stock-management-software/" xr:uid="{5E018D53-CE8C-4199-93FF-C25DE79C31DF}"/>
    <hyperlink ref="B17" r:id="rId13" display="https://techguruplus.com/age-calculator-in-excel-xls-file-download/" xr:uid="{1A587428-F14F-429B-930F-7EE51D93206B}"/>
    <hyperlink ref="B18" r:id="rId14" display="https://techguruplus.com/cheque-printing-format-in-excel-free-download-xls-file-download/" xr:uid="{A7FE0203-A18B-4E66-887B-F0585376FADC}"/>
    <hyperlink ref="B19" r:id="rId15" display="https://techguruplus.com/loan-emi-calculator-in-excel/" xr:uid="{78EFCCF8-2D9A-4304-92C0-F2A7F4DE2B3E}"/>
    <hyperlink ref="D3" r:id="rId16" display="https://techguruplus.com/letterhead-templates/" xr:uid="{D3BA5BC6-E3FA-4087-A5B9-439714B4B484}"/>
    <hyperlink ref="D4" r:id="rId17" display="https://techguruplus.com/warranty-certificate-templates/" xr:uid="{A1997938-2D00-4F75-AEE7-394D18EE1B33}"/>
    <hyperlink ref="D5" r:id="rId18" display="https://techguruplus.com/experience-certificate-word-templates/" xr:uid="{4E83E710-6910-4C1E-BAED-8D99C9763519}"/>
    <hyperlink ref="D6" r:id="rId19" display="https://techguruplus.com/medical-certificate/" xr:uid="{F02F0462-F998-4F7C-9F7E-73A59080BD9B}"/>
    <hyperlink ref="D8" r:id="rId20" display="https://techguruplus.com/balance-sheet-excel-templates/" xr:uid="{EBC4525C-AAD9-4241-8C1F-98CECE13A37D}"/>
    <hyperlink ref="D9" r:id="rId21" display="https://techguruplus.com/profit-loss-excel-templates/" xr:uid="{46F3C1BA-A328-4859-A2AC-E785CA4302AA}"/>
    <hyperlink ref="D10" r:id="rId22" display="https://techguruplus.com/tally-prime-tdl/" xr:uid="{3D40B45B-5E6A-48FF-97CC-AAF41B94F979}"/>
    <hyperlink ref="D11" r:id="rId23" display="https://techguruplus.com/tdl" xr:uid="{3C23D7A8-60DA-4637-B804-263135868588}"/>
    <hyperlink ref="D12" r:id="rId24" display="https://techguruplus.com/salary-slip-format-in-excel/" xr:uid="{390C81E3-9F6B-4796-BBC7-5B3D798919C5}"/>
    <hyperlink ref="D13" r:id="rId25" display="https://techguruplus.com/ctc-calculator-in-excel/" xr:uid="{D97A4174-149B-4036-9D44-1BDD54F1C6FF}"/>
    <hyperlink ref="D15" r:id="rId26" display="https://techguruplus.com/powerpoint-templates-ppt/" xr:uid="{ED0EAB70-BA5E-495A-BF9F-488053829111}"/>
    <hyperlink ref="D16" r:id="rId27" display="https://techguruplus.com/payment-voucher-excel-templates/" xr:uid="{2FF3F0A7-4EF5-489A-B19F-2AD751546220}"/>
    <hyperlink ref="D17" r:id="rId28" display="https://techguruplus.com/category/shortcut-keys-of-all-softwares/" xr:uid="{DF0F798B-F12B-4213-B376-A23F752DA35C}"/>
    <hyperlink ref="F3" r:id="rId29" display="https://techguruplus.com/salary-increment-letter-format-download-word/" xr:uid="{F9059182-6645-4548-BB04-00AFAE3FB8FB}"/>
    <hyperlink ref="F4" r:id="rId30" display="https://techguruplus.com/salary-increment-request-letter-format/" xr:uid="{0A636FE8-867E-4FF5-BDDF-8932AA3DB3B7}"/>
    <hyperlink ref="F5" r:id="rId31" display="https://techguruplus.com/employee-job-joining-letter-format-download-in-word-docx/" xr:uid="{4F93D82C-E85A-45B5-9F35-D83D999C2E99}"/>
    <hyperlink ref="F6" r:id="rId32" display="https://techguruplus.com/appointment-letter-format-download-in-word-docx/" xr:uid="{B548BB29-DB69-4815-AA32-30A12D9BCA95}"/>
    <hyperlink ref="H10" r:id="rId33" display="https://techguruplus.com/resignation-letter-templates/" xr:uid="{77EB43DF-3D7B-48C6-BF42-FA8F03996B88}"/>
    <hyperlink ref="F8" r:id="rId34" display="https://techguruplus.com/top-5-bank-statement-request-letter-format-download-in-word-docx/" xr:uid="{5BFEED5D-CDED-4DDC-9094-A774F774BF29}"/>
    <hyperlink ref="F9" r:id="rId35" display="https://techguruplus.com/noc-letter-format-for-bank-download-in-word-docx/" xr:uid="{6B3F1F45-1C19-4310-8BD6-77A8B69CA02B}"/>
    <hyperlink ref="F10" r:id="rId36" display="https://techguruplus.com/noc-letter-format-for-gst-registration-download-in-word-docx/" xr:uid="{E9B2C0CE-A943-4FF9-A734-F0523F7E6A16}"/>
    <hyperlink ref="F11" r:id="rId37" display="https://techguruplus.com/noc-letter-format-for-visa-download-in-word-docx/" xr:uid="{8892274E-5829-47FA-9F76-773A3F5F1D6F}"/>
    <hyperlink ref="F12" r:id="rId38" display="https://techguruplus.com/noc-letter-format-for-vehicle-transfer-download-in-word-docx/" xr:uid="{A42BE2BB-6556-4ACA-838D-B960447F24B0}"/>
    <hyperlink ref="D18" r:id="rId39" display="https://techguruplus.com/undertaking-letter-format-download-in-word-docx/" xr:uid="{F88E6627-F0F4-4ACE-AC37-564BE63D60A5}"/>
    <hyperlink ref="F15" r:id="rId40" display="https://techguruplus.com/bank-account-closing-letter-format/" xr:uid="{96B4A1D0-9AF2-46FA-8721-D1A6EF1015E0}"/>
    <hyperlink ref="F16" r:id="rId41" display="https://techguruplus.com/bonafide-certificate-application-request-letter-format-word/" xr:uid="{E0164B2A-1D22-4DBD-A04C-714D435A7862}"/>
    <hyperlink ref="F17" r:id="rId42" display="https://techguruplus.com/tc-letter-format-to-be-issued-to-student-word/" xr:uid="{AB8CA478-8176-4F8B-AC18-54A7158D7AAA}"/>
    <hyperlink ref="F18" r:id="rId43" display="https://techguruplus.com/internship-offer-letter-format-word/" xr:uid="{2C7E4F3A-1591-4CC6-9E0C-E86E9B4D430D}"/>
    <hyperlink ref="F19" r:id="rId44" display="https://techguruplus.com/rent-agreement-format-in-word/" xr:uid="{CA23796D-73F7-457D-99B3-6CBF9B292F7A}"/>
    <hyperlink ref="H3" r:id="rId45" display="https://techguruplus.com/job-application-letter-for-the-post-of-accountant/" xr:uid="{8133B5E6-EC77-4C4E-A731-7997601983B6}"/>
    <hyperlink ref="H4" r:id="rId46" display="https://techguruplus.com/warning-letter-to-employee-for-leave-without-permission-in-word/" xr:uid="{ED702B3D-F32C-42B7-8332-630A11959E1E}"/>
    <hyperlink ref="H5" r:id="rId47" display="https://techguruplus.com/termination-letter-formats-for-absconding-employees-in-word/" xr:uid="{7132203D-5AA8-45E8-8150-5D516894566A}"/>
    <hyperlink ref="H6" r:id="rId48" display="https://techguruplus.com/cover-letter-samples-for-job-application-in-word-format/" xr:uid="{4BB6DC3A-1B14-4E68-A0B2-61141C22B311}"/>
    <hyperlink ref="H8" r:id="rId49" display="https://techguruplus.com/internship-experience-letter-templates-in-word/" xr:uid="{4D56EC7A-D3D9-4559-BB28-25A3BCBD217B}"/>
    <hyperlink ref="H9" r:id="rId50" display="https://techguruplus.com/sample-holiday-announcement-emails-to-employees/" xr:uid="{6F5F2F2D-D779-446A-BDFB-11FF0C9DA8E4}"/>
    <hyperlink ref="D19" r:id="rId51" display="https://techguruplus.com/bank-account-closing-letter-format/" xr:uid="{62787BDA-6543-4FEF-BA11-5FE1248740E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CTC Calculator</vt:lpstr>
      <vt:lpstr>Useful Links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Rahat</dc:creator>
  <cp:lastModifiedBy>HP</cp:lastModifiedBy>
  <dcterms:created xsi:type="dcterms:W3CDTF">2023-04-03T16:53:18Z</dcterms:created>
  <dcterms:modified xsi:type="dcterms:W3CDTF">2024-06-15T10:28:11Z</dcterms:modified>
</cp:coreProperties>
</file>